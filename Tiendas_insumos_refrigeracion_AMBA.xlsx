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endas AMBA" sheetId="1" state="visible" r:id="rId3"/>
    <sheet name="Comparativa precios" sheetId="2" state="visible" r:id="rId4"/>
    <sheet name="AMBA sin precios web" sheetId="3" state="visible" r:id="rId5"/>
    <sheet name="Fuera del AMBA" sheetId="4" state="visible" r:id="rId6"/>
    <sheet name="Metodologia" sheetId="5" state="visible" r:id="rId7"/>
  </sheets>
  <definedNames>
    <definedName function="false" hidden="true" localSheetId="1" name="_xlnm._FilterDatabase" vbProcedure="false">'Comparativa precios'!$A$4:$J$122</definedName>
    <definedName function="false" hidden="true" localSheetId="0" name="_xlnm._FilterDatabase" vbProcedure="false">'Tiendas AMBA'!$A$4:$J$19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<sst xmlns="http://schemas.openxmlformats.org/spreadsheetml/2006/main" count="1097" uniqueCount="425">
  <si>
    <t xml:space="preserve">Tiendas del AMBA con precios de insumos de refrigeracion publicados en su web</t>
  </si>
  <si>
    <t xml:space="preserve">Relevamiento web al 08/09/2026. Solo se listan tiendas con catalogo online y precios visibles SIN necesidad de registrarse. Precios en ARS con IVA salvo indicacion en contrario.</t>
  </si>
  <si>
    <t xml:space="preserve">#</t>
  </si>
  <si>
    <t xml:space="preserve">Tienda</t>
  </si>
  <si>
    <t xml:space="preserve">Sitio web</t>
  </si>
  <si>
    <t xml:space="preserve">Zona</t>
  </si>
  <si>
    <t xml:space="preserve">Localidad / Direccion</t>
  </si>
  <si>
    <t xml:space="preserve">Rubro que cubre (insumos de instalacion)</t>
  </si>
  <si>
    <t xml:space="preserve">Precios publicados en la web</t>
  </si>
  <si>
    <t xml:space="preserve">Envios</t>
  </si>
  <si>
    <t xml:space="preserve">Contacto</t>
  </si>
  <si>
    <t xml:space="preserve">Observaciones</t>
  </si>
  <si>
    <t xml:space="preserve">FM Refrigeracion</t>
  </si>
  <si>
    <t xml:space="preserve">https://www.fmrefrigeracion.com.ar/</t>
  </si>
  <si>
    <t xml:space="preserve">Norte</t>
  </si>
  <si>
    <t xml:space="preserve">Av. Benavidez 2823, Benavidez (Tigre) + sucursal El Talar (Tigre)</t>
  </si>
  <si>
    <t xml:space="preserve">Cano de cobre (metro y rollo 15m), accesorios de cobre, aislaciones en tira, cintas, cable TPR, mensulas, uniones manguera cristal, capacitores, gases, herramientas</t>
  </si>
  <si>
    <t xml:space="preserve">SI - catalogo completo con precio y stock</t>
  </si>
  <si>
    <t xml:space="preserve">Envio gratis en productos seleccionados / todo el pais</t>
  </si>
  <si>
    <t xml:space="preserve">WhatsApp 11-6422-8162</t>
  </si>
  <si>
    <t xml:space="preserve">Una de las mas completas y con mejores precios en cobre por metro. Muestra precio con y sin impuestos nacionales.</t>
  </si>
  <si>
    <t xml:space="preserve">Freshen Distribuye</t>
  </si>
  <si>
    <t xml:space="preserve">https://www.freshendistribuye.com.ar/</t>
  </si>
  <si>
    <t xml:space="preserve">CABA</t>
  </si>
  <si>
    <t xml:space="preserve">Albarino 2048, CABA</t>
  </si>
  <si>
    <t xml:space="preserve">Caneria de cobre (rollos 15 y 45m, capilar), aislaciones Cooltech/Vidoflex, cintas, cables tipo taller (TPR) por metro y rollo 100m, capacitores, mensulas, manguera cristal, desagues, fijaciones, kit de instalacion</t>
  </si>
  <si>
    <t xml:space="preserve">SI - los valores publicados ya incluyen descuento por pago en efectivo</t>
  </si>
  <si>
    <t xml:space="preserve">Si (consultar)</t>
  </si>
  <si>
    <t xml:space="preserve">Tel 11 6086-9157 / WhatsApp 11-3469-6124</t>
  </si>
  <si>
    <t xml:space="preserve">El catalogo mas ordenado por rubro para materiales de instalacion. Ideal para cotizar canasta completa.</t>
  </si>
  <si>
    <t xml:space="preserve">Refrigeracion Mitre</t>
  </si>
  <si>
    <t xml:space="preserve">https://www.refrigeracionmitre.com.ar/</t>
  </si>
  <si>
    <t xml:space="preserve">Sur</t>
  </si>
  <si>
    <t xml:space="preserve">Av. Mitre 4661 (B1874ABB), Villa Dominico, Avellaneda</t>
  </si>
  <si>
    <t xml:space="preserve">Canos de cobre, conexiones de cobre y bronce, insumos y accesorios para instalaciones, gases refrigerantes, repuestos de AA, herramientas</t>
  </si>
  <si>
    <t xml:space="preserve">SI - precios con IVA, sujetos a variacion</t>
  </si>
  <si>
    <t xml:space="preserve">Consultar</t>
  </si>
  <si>
    <t xml:space="preserve">Web / tienda online</t>
  </si>
  <si>
    <t xml:space="preserve">Tienda online propia con codigo de articulo y stock por item.</t>
  </si>
  <si>
    <t xml:space="preserve">Norfrig</t>
  </si>
  <si>
    <t xml:space="preserve">https://norfrig.com.ar/</t>
  </si>
  <si>
    <t xml:space="preserve">CABA + Norte</t>
  </si>
  <si>
    <t xml:space="preserve">Humboldt 2359 (1425), Palermo, CABA + Av. Eduardo Madero 92 (1669), Del Viso, Pilar</t>
  </si>
  <si>
    <t xml:space="preserve">Kits de instalacion armados (3, 5 y 6 m), canos de cobre, aislantes tipo Armaflex, cintas, mensulas, gases, repuestos de AA</t>
  </si>
  <si>
    <t xml:space="preserve">SI - muestra precio final y precio sin impuestos nacionales</t>
  </si>
  <si>
    <t xml:space="preserve">Si (Pagos y Envios en la web)</t>
  </si>
  <si>
    <t xml:space="preserve">(011) 4774-5315 / (02320) 408440</t>
  </si>
  <si>
    <t xml:space="preserve">Muy fuerte en kits de instalacion completos ya armados por frigorias.</t>
  </si>
  <si>
    <t xml:space="preserve">BY PARTS</t>
  </si>
  <si>
    <t xml:space="preserve">https://www.byparts.com.ar/</t>
  </si>
  <si>
    <t xml:space="preserve">Italia 41, Avellaneda</t>
  </si>
  <si>
    <t xml:space="preserve">Kits de instalacion split por frigorias, mensulas reforzadas y kits de mensulas, cinta para canos, manguera cristal por metro, cable tipo taller, caja de preinstalacion, tacos antivibratorios, tornilleria, aros tapa agujero</t>
  </si>
  <si>
    <t xml:space="preserve">SI - precio de lista y precio con transferencia</t>
  </si>
  <si>
    <t xml:space="preserve">Todo el pais (Correo Argentino), envio gratis en seleccionados</t>
  </si>
  <si>
    <t xml:space="preserve">Web</t>
  </si>
  <si>
    <t xml:space="preserve">Muy orientado al instalador: casi todo el consumible de instalacion en un solo lugar.</t>
  </si>
  <si>
    <t xml:space="preserve">Tecneclima</t>
  </si>
  <si>
    <t xml:space="preserve">https://tecneclima.com.ar/</t>
  </si>
  <si>
    <t xml:space="preserve">Olleros 4157, Chacarita, CABA</t>
  </si>
  <si>
    <t xml:space="preserve">Cobre fraccionado por metro, rollo 15 y 45 m, capilar, aislacion, cintas (incl. teflon), mensulas, kit split, accesorios de instalacion, gases, equipos</t>
  </si>
  <si>
    <t xml:space="preserve">SI - precios con impuestos incluidos</t>
  </si>
  <si>
    <t xml:space="preserve">Todo el pais; CABA y GBA Zona Norte entrega en el dia</t>
  </si>
  <si>
    <t xml:space="preserve">11-5272-5089 / WhatsApp 11-2385-5805</t>
  </si>
  <si>
    <t xml:space="preserve">Buena para urgencias por la entrega en el dia en CABA y zona norte.</t>
  </si>
  <si>
    <t xml:space="preserve">Bellini Hnos</t>
  </si>
  <si>
    <t xml:space="preserve">https://www.bellinihnos.com.ar/</t>
  </si>
  <si>
    <t xml:space="preserve">San Pedro 5630, CABA (casa central)</t>
  </si>
  <si>
    <t xml:space="preserve">Mayorista: cobre desnudo y cano de cobre aislado en rollo de 25m (Cooltech), cables, ductos, metales, bombas de condensado, gases, compresores, herramientas, ferreteria</t>
  </si>
  <si>
    <t xml:space="preserve">SI - precios visibles sin login (perfil mayorista)</t>
  </si>
  <si>
    <t xml:space="preserve">Envios a todo el pais</t>
  </si>
  <si>
    <t xml:space="preserve">(11) 4635-7656 / 4683-5166</t>
  </si>
  <si>
    <t xml:space="preserve">Referencia para cano de cobre PRE-AISLADO en rollo de 25 m, que pocos publican.</t>
  </si>
  <si>
    <t xml:space="preserve">REPJUL Refrigeracion</t>
  </si>
  <si>
    <t xml:space="preserve">https://www.repjulrefrigeracion.com/</t>
  </si>
  <si>
    <t xml:space="preserve">Oeste</t>
  </si>
  <si>
    <t xml:space="preserve">Marcelo T. de Alvear 2712, Jose Ingenieros (Tres de Febrero)</t>
  </si>
  <si>
    <t xml:space="preserve">Capacitores (75 variantes), mensulas, caja de preinstalacion, cuplas, broncerias, controles, plaquetas, forzadores, motocompresores, manifolds, herramientas</t>
  </si>
  <si>
    <t xml:space="preserve">SI - catalogo completo con precios</t>
  </si>
  <si>
    <t xml:space="preserve">Cotizan envio a todo el pais por codigo postal</t>
  </si>
  <si>
    <t xml:space="preserve">011 3813-1969 / WhatsApp +54 11 3813-1969</t>
  </si>
  <si>
    <t xml:space="preserve">El surtido de capacitores mas amplio del relevamiento.</t>
  </si>
  <si>
    <t xml:space="preserve">SP LTA Distribuidora</t>
  </si>
  <si>
    <t xml:space="preserve">https://www.electrosplta.com.ar/</t>
  </si>
  <si>
    <t xml:space="preserve">Av. Juan Bautista Alberdi 6385, Mataderos, CABA</t>
  </si>
  <si>
    <t xml:space="preserve">Capacitores, cables, motores y forzadores, plaquetas, ductos, valvulas, mangueras y codos, resistencias</t>
  </si>
  <si>
    <t xml:space="preserve">SI - precios visibles, 3 cuotas sin interes</t>
  </si>
  <si>
    <t xml:space="preserve">Entrega en el dia en CABA + envios a todo el pais + retiro en local</t>
  </si>
  <si>
    <t xml:space="preserve">WhatsApp +54 11 5012-7976</t>
  </si>
  <si>
    <t xml:space="preserve">Fuerte en la parte electrica (capacitores, cables, motores), no en cobre.</t>
  </si>
  <si>
    <t xml:space="preserve">Del Sur Repuestos</t>
  </si>
  <si>
    <t xml:space="preserve">https://delsur-repuestos.com.ar/</t>
  </si>
  <si>
    <t xml:space="preserve">Av. Mitre 1755, Avellaneda</t>
  </si>
  <si>
    <t xml:space="preserve">Instalacion de aires acondicionados (kits, gases, canerias), herramientas, repuestos de linea blanca</t>
  </si>
  <si>
    <t xml:space="preserve">(011) 7723-7624 / WhatsApp 11 2484-5460</t>
  </si>
  <si>
    <t xml:space="preserve">Lun a Vie 8-13 y 14-17, Sab 8-13.</t>
  </si>
  <si>
    <t xml:space="preserve">VC Insumos Refrigeracion</t>
  </si>
  <si>
    <t xml:space="preserve">https://insumosrefrigeracionvc.online/</t>
  </si>
  <si>
    <t xml:space="preserve">Ruy Diaz 4045, Moron</t>
  </si>
  <si>
    <t xml:space="preserve">Mas de 1.000 productos: insumos, herramientas, aceites, accesorios de refrigeracion y AA</t>
  </si>
  <si>
    <t xml:space="preserve">SI - precios de lista y con descuento visibles</t>
  </si>
  <si>
    <t xml:space="preserve">Envios a todo el pais + retiro en local</t>
  </si>
  <si>
    <t xml:space="preserve">11 2835-2895</t>
  </si>
  <si>
    <t xml:space="preserve">20+ anos. Tienda WooCommerce, buen surtido de insumos generales.</t>
  </si>
  <si>
    <t xml:space="preserve">Refrigeracion Numa</t>
  </si>
  <si>
    <t xml:space="preserve">https://www.refrigeracionnuma.com.ar/</t>
  </si>
  <si>
    <t xml:space="preserve">CABA + Sur</t>
  </si>
  <si>
    <t xml:space="preserve">Directorio 2515, Flores, CABA + Av. M. Castex 284, Canning (Ezeiza)</t>
  </si>
  <si>
    <t xml:space="preserve">Equipos split, compresores, evaporadores, condensadores, forzadores, repuestos; insumos de instalacion mas acotados</t>
  </si>
  <si>
    <t xml:space="preserve">SI - precios visibles en el catalogo</t>
  </si>
  <si>
    <t xml:space="preserve">Si (seccion Envios)</t>
  </si>
  <si>
    <t xml:space="preserve">WhatsApp +54 9 11 3611-9325</t>
  </si>
  <si>
    <t xml:space="preserve">Mas fuerte en equipos y componentes que en consumibles de instalacion.</t>
  </si>
  <si>
    <t xml:space="preserve">Refrigeracion San Telmo</t>
  </si>
  <si>
    <t xml:space="preserve">https://refrigeracionsantelmo.com.ar/</t>
  </si>
  <si>
    <t xml:space="preserve">Av. Independencia 447, San Telmo, CABA</t>
  </si>
  <si>
    <t xml:space="preserve">Kits de instalacion, gases refrigerantes, repuestos; fuerte en linea blanca y heladeras</t>
  </si>
  <si>
    <t xml:space="preserve">SI - precio de lista y precio promocional</t>
  </si>
  <si>
    <t xml:space="preserve">Envios en Capital Federal y alrededores</t>
  </si>
  <si>
    <t xml:space="preserve">11 7112-3803</t>
  </si>
  <si>
    <t xml:space="preserve">Surtido de instalacion limitado; util como respaldo en el centro de CABA.</t>
  </si>
  <si>
    <t xml:space="preserve">Patagonia Repuestos</t>
  </si>
  <si>
    <t xml:space="preserve">https://patagoniarepuestos.com.ar/</t>
  </si>
  <si>
    <t xml:space="preserve">Hipolito Yrigoyen 524, Merlo + San Juan 306, Marcos Paz</t>
  </si>
  <si>
    <t xml:space="preserve">Capacitores, repuestos de aire acondicionado, plaquetas, motores, linea blanca</t>
  </si>
  <si>
    <t xml:space="preserve">PARCIAL - hay tienda con precios pero varias categorias no los muestran; verificar por producto</t>
  </si>
  <si>
    <t xml:space="preserve">Si (Costos y formas de envio en la web)</t>
  </si>
  <si>
    <t xml:space="preserve">11 5057-2266 / 0220 477-5865</t>
  </si>
  <si>
    <t xml:space="preserve">Buena cobertura de zona oeste profunda. Confirmar precio por WhatsApp antes de ir.</t>
  </si>
  <si>
    <t xml:space="preserve">Giovagnini Climatizacion</t>
  </si>
  <si>
    <t xml:space="preserve">https://giovagnini.com.ar/</t>
  </si>
  <si>
    <t xml:space="preserve">Gran La Plata</t>
  </si>
  <si>
    <t xml:space="preserve">La Plata (agente oficial Surrey)</t>
  </si>
  <si>
    <t xml:space="preserve">Mensulas para AA, insumos de instalacion, equipos de climatizacion</t>
  </si>
  <si>
    <t xml:space="preserve">SI - precios por medida visibles</t>
  </si>
  <si>
    <t xml:space="preserve">Si (Envios y Entregas)</t>
  </si>
  <si>
    <t xml:space="preserve">WhatsApp +54 221 504-4485</t>
  </si>
  <si>
    <t xml:space="preserve">Limite sur del AMBA. Relevante si trabajas hacia La Plata / Berazategui.</t>
  </si>
  <si>
    <t xml:space="preserve">Comparativa de precios - canasta de materiales de instalacion</t>
  </si>
  <si>
    <t xml:space="preserve">Precios tomados de las webs el 08/09/2026. La columna 'Precio unitario' se calcula por formula (precio / cantidad) para poder comparar rollos contra venta por metro. Los precios de Argentina se mueven mes a mes: reverificar antes de presupuestar.</t>
  </si>
  <si>
    <t xml:space="preserve">Rubro</t>
  </si>
  <si>
    <t xml:space="preserve">Item</t>
  </si>
  <si>
    <t xml:space="preserve">Medida / presentacion</t>
  </si>
  <si>
    <t xml:space="preserve">Unidad</t>
  </si>
  <si>
    <t xml:space="preserve">Precio publicado (ARS)</t>
  </si>
  <si>
    <t xml:space="preserve">Cant. por unidad</t>
  </si>
  <si>
    <t xml:space="preserve">Precio unitario (ARS)</t>
  </si>
  <si>
    <t xml:space="preserve">Fuente / nota</t>
  </si>
  <si>
    <t xml:space="preserve">Cobre</t>
  </si>
  <si>
    <t xml:space="preserve">Cano de cobre 1/4"</t>
  </si>
  <si>
    <t xml:space="preserve">Por metro, 0,8 mm</t>
  </si>
  <si>
    <t xml:space="preserve">metro</t>
  </si>
  <si>
    <t xml:space="preserve">Precio con IVA</t>
  </si>
  <si>
    <t xml:space="preserve">Impuestos incluidos</t>
  </si>
  <si>
    <t xml:space="preserve">Rollo 15 m</t>
  </si>
  <si>
    <t xml:space="preserve">Rollo x 15 m</t>
  </si>
  <si>
    <t xml:space="preserve">Rollo x 15 m, e 0,8 mm</t>
  </si>
  <si>
    <t xml:space="preserve">Cano de cobre 3/8"</t>
  </si>
  <si>
    <t xml:space="preserve">Cano de cobre 1/2"</t>
  </si>
  <si>
    <t xml:space="preserve">Cano de cobre 5/8"</t>
  </si>
  <si>
    <t xml:space="preserve">Cano de cobre 3/4"</t>
  </si>
  <si>
    <t xml:space="preserve">Cano de cobre 5/16"</t>
  </si>
  <si>
    <t xml:space="preserve">Cobre aislado</t>
  </si>
  <si>
    <t xml:space="preserve">Cano cobre aislado 3/8" x 0,8</t>
  </si>
  <si>
    <t xml:space="preserve">Rollo 25 m Cooltech</t>
  </si>
  <si>
    <t xml:space="preserve">Armado y listo para usar</t>
  </si>
  <si>
    <t xml:space="preserve">Cano cobre aislado 3/8" x 1,0</t>
  </si>
  <si>
    <t xml:space="preserve">Pared 1,0 mm</t>
  </si>
  <si>
    <t xml:space="preserve">Cano cobre aislado 5/8" x 0,8</t>
  </si>
  <si>
    <t xml:space="preserve">Cano cobre aislado 3/4" x 0,8</t>
  </si>
  <si>
    <t xml:space="preserve">Cano cobre aislado 1/4" x 1,0</t>
  </si>
  <si>
    <t xml:space="preserve">Figuraba SIN STOCK</t>
  </si>
  <si>
    <t xml:space="preserve">Accesorios cobre</t>
  </si>
  <si>
    <t xml:space="preserve">Union de cobre 1/4"</t>
  </si>
  <si>
    <t xml:space="preserve">unidad</t>
  </si>
  <si>
    <t xml:space="preserve">Tee de cobre 1/4"</t>
  </si>
  <si>
    <t xml:space="preserve">Capilar de cobre 0,8 mm</t>
  </si>
  <si>
    <t xml:space="preserve">Por metro</t>
  </si>
  <si>
    <t xml:space="preserve">Capilar de cobre 0,5 mm</t>
  </si>
  <si>
    <t xml:space="preserve">Aislante</t>
  </si>
  <si>
    <t xml:space="preserve">Aislacion 1/4" espesor 6 mm</t>
  </si>
  <si>
    <t xml:space="preserve">Tira</t>
  </si>
  <si>
    <t xml:space="preserve">tira</t>
  </si>
  <si>
    <t xml:space="preserve">Aislacion en tira F/c</t>
  </si>
  <si>
    <t xml:space="preserve">Tira Cooltech</t>
  </si>
  <si>
    <t xml:space="preserve">6 x 6 mm</t>
  </si>
  <si>
    <t xml:space="preserve">Aislante tipo Armaflex 1/4"</t>
  </si>
  <si>
    <t xml:space="preserve">CABA/Norte</t>
  </si>
  <si>
    <t xml:space="preserve">Con 29% de descuento aplicado</t>
  </si>
  <si>
    <t xml:space="preserve">Aislacion 1/4" espesor 9 mm</t>
  </si>
  <si>
    <t xml:space="preserve">9 x 6 mm</t>
  </si>
  <si>
    <t xml:space="preserve">Aislacion 3/8" espesor 6 mm</t>
  </si>
  <si>
    <t xml:space="preserve">6 x 10 mm</t>
  </si>
  <si>
    <t xml:space="preserve">Aislacion 3/8" espesor 9 mm</t>
  </si>
  <si>
    <t xml:space="preserve">9 x 10 mm</t>
  </si>
  <si>
    <t xml:space="preserve">Aislacion 1/2" espesor 6 mm</t>
  </si>
  <si>
    <t xml:space="preserve">6 x 13 mm</t>
  </si>
  <si>
    <t xml:space="preserve">Aislacion 1/2" espesor 9 mm</t>
  </si>
  <si>
    <t xml:space="preserve">9 x 13 mm</t>
  </si>
  <si>
    <t xml:space="preserve">Aislacion 5/8" espesor 6 mm</t>
  </si>
  <si>
    <t xml:space="preserve">6 x 16 mm</t>
  </si>
  <si>
    <t xml:space="preserve">Aislacion 5/8" espesor 9 mm</t>
  </si>
  <si>
    <t xml:space="preserve">9 x 16 mm</t>
  </si>
  <si>
    <t xml:space="preserve">Aislacion 3/4" espesor 9 mm</t>
  </si>
  <si>
    <t xml:space="preserve">9 x 19 mm</t>
  </si>
  <si>
    <t xml:space="preserve">Aislacion 7/8" espesor 9 mm</t>
  </si>
  <si>
    <t xml:space="preserve">9 x 22 mm</t>
  </si>
  <si>
    <t xml:space="preserve">Aislacion 1 1/8" espesor 9 mm</t>
  </si>
  <si>
    <t xml:space="preserve">9 x 28 mm</t>
  </si>
  <si>
    <t xml:space="preserve">Cintas</t>
  </si>
  <si>
    <t xml:space="preserve">Cinta plastica blanca SIN adhesivo</t>
  </si>
  <si>
    <t xml:space="preserve">Rollo 20 m Cooltech</t>
  </si>
  <si>
    <t xml:space="preserve">Cinta plastica blanca CON adhesivo</t>
  </si>
  <si>
    <t xml:space="preserve">Rollo 20 m Tacsa</t>
  </si>
  <si>
    <t xml:space="preserve">Marca premium</t>
  </si>
  <si>
    <t xml:space="preserve">Cinta gris SIN adhesivo</t>
  </si>
  <si>
    <t xml:space="preserve">Rollo 20 m</t>
  </si>
  <si>
    <t xml:space="preserve">Cinta negra SIN adhesivo Tacsa</t>
  </si>
  <si>
    <t xml:space="preserve">Cinta de aluminio 50 mm</t>
  </si>
  <si>
    <t xml:space="preserve">Rollo 50 m</t>
  </si>
  <si>
    <t xml:space="preserve">Cinta para canos de refrigeracion</t>
  </si>
  <si>
    <t xml:space="preserve">Rollo</t>
  </si>
  <si>
    <t xml:space="preserve">rollo</t>
  </si>
  <si>
    <t xml:space="preserve">Precio con descuento</t>
  </si>
  <si>
    <t xml:space="preserve">Cinta para aire acondicionado Ilpea</t>
  </si>
  <si>
    <t xml:space="preserve">Cinta aisladora Sybyd 10 m</t>
  </si>
  <si>
    <t xml:space="preserve">Rollo 10 m</t>
  </si>
  <si>
    <t xml:space="preserve">Cable TPR</t>
  </si>
  <si>
    <t xml:space="preserve">Cable TPR / tipo taller 3x1,5 mm</t>
  </si>
  <si>
    <t xml:space="preserve">Rollo 100 m</t>
  </si>
  <si>
    <t xml:space="preserve">Conviene por rollo</t>
  </si>
  <si>
    <t xml:space="preserve">Cable TPR / tipo taller 3x2,5 mm</t>
  </si>
  <si>
    <t xml:space="preserve">Cable TPR / tipo taller 5x1,5 mm</t>
  </si>
  <si>
    <t xml:space="preserve">Cable TPR / tipo taller 5x2,5 mm</t>
  </si>
  <si>
    <t xml:space="preserve">Cable TPR / tipo taller 2x1 mm</t>
  </si>
  <si>
    <t xml:space="preserve">Cable TPR / tipo taller 7x1,5 mm</t>
  </si>
  <si>
    <t xml:space="preserve">Mensulas</t>
  </si>
  <si>
    <t xml:space="preserve">Mensula reforzada 42 cm</t>
  </si>
  <si>
    <t xml:space="preserve">Mensula 50 cm</t>
  </si>
  <si>
    <t xml:space="preserve">Color blanco</t>
  </si>
  <si>
    <t xml:space="preserve">Mensula reforzada 2500-3800 fr</t>
  </si>
  <si>
    <t xml:space="preserve">8% OFF aplicado</t>
  </si>
  <si>
    <t xml:space="preserve">Kit (par) mensulas reforzadas 2500-3800 fr</t>
  </si>
  <si>
    <t xml:space="preserve">Par</t>
  </si>
  <si>
    <t xml:space="preserve">par</t>
  </si>
  <si>
    <t xml:space="preserve">20% OFF aplicado</t>
  </si>
  <si>
    <t xml:space="preserve">Mensula reforzada 4500-5000 fr</t>
  </si>
  <si>
    <t xml:space="preserve">Kit (par) mensulas 50 cm 4500-5000 fr</t>
  </si>
  <si>
    <t xml:space="preserve">18% OFF aplicado</t>
  </si>
  <si>
    <t xml:space="preserve">Par de mensulas 42 / 49 cm</t>
  </si>
  <si>
    <t xml:space="preserve">Giovagnini</t>
  </si>
  <si>
    <t xml:space="preserve">La Plata</t>
  </si>
  <si>
    <t xml:space="preserve">Rango $17.952 a $20.166 segun medida</t>
  </si>
  <si>
    <t xml:space="preserve">Manguera cristal</t>
  </si>
  <si>
    <t xml:space="preserve">Manguera cristal 1/4"</t>
  </si>
  <si>
    <t xml:space="preserve">Manguera cristal 1/2"</t>
  </si>
  <si>
    <t xml:space="preserve">Manguera cristal 5/8"</t>
  </si>
  <si>
    <t xml:space="preserve">Rollo 25 m</t>
  </si>
  <si>
    <t xml:space="preserve">Manguera cristal 3/4"</t>
  </si>
  <si>
    <t xml:space="preserve">Uniones para manguera cristal (PVC)</t>
  </si>
  <si>
    <t xml:space="preserve">Unidad (Y, codo, recta, tee)</t>
  </si>
  <si>
    <t xml:space="preserve">Capacitores</t>
  </si>
  <si>
    <t xml:space="preserve">Capacitor 2 uF</t>
  </si>
  <si>
    <t xml:space="preserve">Cuadrado</t>
  </si>
  <si>
    <t xml:space="preserve">Caramelo</t>
  </si>
  <si>
    <t xml:space="preserve">Capacitor 2,5 uF 450 VAC</t>
  </si>
  <si>
    <t xml:space="preserve">Capacitor 4 uF</t>
  </si>
  <si>
    <t xml:space="preserve">Capacitor 4 uF 450 VAC</t>
  </si>
  <si>
    <t xml:space="preserve">Capacitor 10 uF x 450 V</t>
  </si>
  <si>
    <t xml:space="preserve">Capacitor 16 uF</t>
  </si>
  <si>
    <t xml:space="preserve">Capacitor 25 uF x 450 V</t>
  </si>
  <si>
    <t xml:space="preserve">Capacitor 25 uF</t>
  </si>
  <si>
    <t xml:space="preserve">Capacitor 30 uF x 450 V</t>
  </si>
  <si>
    <t xml:space="preserve">Capacitor 30 uF</t>
  </si>
  <si>
    <t xml:space="preserve">Capacitor 35 uF</t>
  </si>
  <si>
    <t xml:space="preserve">Capacitor 40 uF x 450 V</t>
  </si>
  <si>
    <t xml:space="preserve">Capacitor 40 uF</t>
  </si>
  <si>
    <t xml:space="preserve">Capacitor 45 uF x 450 V</t>
  </si>
  <si>
    <t xml:space="preserve">Capacitor 50 uF</t>
  </si>
  <si>
    <t xml:space="preserve">Capacitor 60 uF</t>
  </si>
  <si>
    <t xml:space="preserve">Capacitor dual 35+2 uF</t>
  </si>
  <si>
    <t xml:space="preserve">Otros</t>
  </si>
  <si>
    <t xml:space="preserve">Caja de preinstalacion split</t>
  </si>
  <si>
    <t xml:space="preserve">Kit tornillos de fijacion</t>
  </si>
  <si>
    <t xml:space="preserve">Kit</t>
  </si>
  <si>
    <t xml:space="preserve">kit</t>
  </si>
  <si>
    <t xml:space="preserve">Kit tornillos instalacion</t>
  </si>
  <si>
    <t xml:space="preserve">Kit tacos antivibratorios</t>
  </si>
  <si>
    <t xml:space="preserve">Aro / tapa agujero de pared</t>
  </si>
  <si>
    <t xml:space="preserve">Tapa agujero para instalacion</t>
  </si>
  <si>
    <t xml:space="preserve">Juego de patas de piso para AA</t>
  </si>
  <si>
    <t xml:space="preserve">Juego</t>
  </si>
  <si>
    <t xml:space="preserve">juego</t>
  </si>
  <si>
    <t xml:space="preserve">Varilla para soldar canos de cobre</t>
  </si>
  <si>
    <t xml:space="preserve">Valvula pinche para refrigeracion</t>
  </si>
  <si>
    <t xml:space="preserve">Valvula de carga para soldar</t>
  </si>
  <si>
    <t xml:space="preserve">Cupla aire acondicionado 3/8"</t>
  </si>
  <si>
    <t xml:space="preserve">Kits armados</t>
  </si>
  <si>
    <t xml:space="preserve">Kit instalacion 1/4 + 3/8 x 3 m</t>
  </si>
  <si>
    <t xml:space="preserve">Kit completo</t>
  </si>
  <si>
    <t xml:space="preserve">Incluye aislante, manguera cristal 1/2 x3m, cobre 1/4 y 3/8 x3m, cable 5x1,5 x3m y cinta PVC. Para 2250-3500 fr</t>
  </si>
  <si>
    <t xml:space="preserve">Kit instalacion 1/4 + 1/2 x 3 m (3000 fr)</t>
  </si>
  <si>
    <t xml:space="preserve">Precio con descuento aplicado</t>
  </si>
  <si>
    <t xml:space="preserve">RESUMEN - rango de precio unitario relevado, por rubro y unidad de medida</t>
  </si>
  <si>
    <t xml:space="preserve">Menor precio unitario (ARS)</t>
  </si>
  <si>
    <t xml:space="preserve">Mayor precio unitario (ARS)</t>
  </si>
  <si>
    <t xml:space="preserve">Items relevados</t>
  </si>
  <si>
    <t xml:space="preserve">Nota: el resumen usa MINIFS/MAXIFS sobre la columna 'Precio unitario', que ya normaliza rollos a precio por metro.</t>
  </si>
  <si>
    <t xml:space="preserve">Tiendas del AMBA SIN precios publicados en la web</t>
  </si>
  <si>
    <t xml:space="preserve">No cumplen la condicion del relevamiento (precio visible sin registrarse), pero son proveedores reales del rubro en el AMBA. Utiles para pedir lista o comprar en mostrador.</t>
  </si>
  <si>
    <t xml:space="preserve">Por que quedo afuera</t>
  </si>
  <si>
    <t xml:space="preserve">Igual sirve para...</t>
  </si>
  <si>
    <t xml:space="preserve">Ansal Refrigeracion SA</t>
  </si>
  <si>
    <t xml:space="preserve">https://ansal.com.ar/</t>
  </si>
  <si>
    <t xml:space="preserve">Otamendi 530, CABA (Caballito)</t>
  </si>
  <si>
    <t xml:space="preserve">El catalogo es publico pero las ofertas y precios estan detras de /login</t>
  </si>
  <si>
    <t xml:space="preserve">Distribuidor grande y clasico: valvulas, filtros, compresores, cobre, material electrico. Pedir alta de cuenta.</t>
  </si>
  <si>
    <t xml:space="preserve">Refrigeracion HK</t>
  </si>
  <si>
    <t xml:space="preserve">https://refrigeracionhk.com.ar/shop/</t>
  </si>
  <si>
    <t xml:space="preserve">Av. Ricardo Balbin 3301, Saavedra, CABA</t>
  </si>
  <si>
    <t xml:space="preserve">Tiene tienda con cobre, aislaciones, kits y mensulas, pero no muestra precios</t>
  </si>
  <si>
    <t xml:space="preserve">Envios a todo el pais y retiro en sucursal. Buen surtido de instalacion; cotizar por WhatsApp 11-3146-5662.</t>
  </si>
  <si>
    <t xml:space="preserve">Refrigeracion Vergara</t>
  </si>
  <si>
    <t xml:space="preserve">https://refrigeracionvergara.com.ar/</t>
  </si>
  <si>
    <t xml:space="preserve">Villa Luzuriaga, La Matanza</t>
  </si>
  <si>
    <t xml:space="preserve">Publica tablas de caños de cobre nacional e importado pero SIN valores cargados</t>
  </si>
  <si>
    <t xml:space="preserve">Especialista en cobre en zona oeste. Retiro en local; consulta por WhatsApp 11 5022-1090.</t>
  </si>
  <si>
    <t xml:space="preserve">FB Repuestos</t>
  </si>
  <si>
    <t xml:space="preserve">https://www.fbrepuestos.com.ar/</t>
  </si>
  <si>
    <t xml:space="preserve">Av. Calchaqui 2043, Quilmes Oeste + Camino de Cintura 1295, Luis Guillon</t>
  </si>
  <si>
    <t xml:space="preserve">"Debe registrarse como cliente para visualizar los precios"</t>
  </si>
  <si>
    <t xml:space="preserve">Dos locales en zona sur, entrega a domicilio. Mas fuerte en repuestos que en insumos de instalacion.</t>
  </si>
  <si>
    <t xml:space="preserve">Repuestos Noroeste</t>
  </si>
  <si>
    <t xml:space="preserve">https://www.repuestos-noroeste.com.ar/</t>
  </si>
  <si>
    <t xml:space="preserve">Blvd. Buenos Aires 1319, Luis Guillon</t>
  </si>
  <si>
    <t xml:space="preserve">Requiere registro como cliente para ver precios</t>
  </si>
  <si>
    <t xml:space="preserve">Entrega sin cargo. Repuestos de linea blanca y refrigeracion.</t>
  </si>
  <si>
    <t xml:space="preserve">Totaline Argentina</t>
  </si>
  <si>
    <t xml:space="preserve">https://www.totaline.com.ar/</t>
  </si>
  <si>
    <t xml:space="preserve">Vedia 3616, 3er piso, CABA</t>
  </si>
  <si>
    <t xml:space="preserve">Catalogo tecnico muy completo pero los precios requieren login</t>
  </si>
  <si>
    <t xml:space="preserve">Aislaciones elastomericas, conductos Climaver, flexibles, cajas de preinstalacion, bombas Aspen, broncerias. Tienen buscador de puntos de venta.</t>
  </si>
  <si>
    <t xml:space="preserve">Almagro Refrigeracion</t>
  </si>
  <si>
    <t xml:space="preserve">https://www.almagroref.com/</t>
  </si>
  <si>
    <t xml:space="preserve">Mexico 3326, CABA</t>
  </si>
  <si>
    <t xml:space="preserve">Sitio en construccion, sin catalogo ni precios</t>
  </si>
  <si>
    <t xml:space="preserve">Local historico de repuestos de refrigeracion, calefaccion y AA. Tel (011) 4931-0006.</t>
  </si>
  <si>
    <t xml:space="preserve">Refrigeracion Pizarro</t>
  </si>
  <si>
    <t xml:space="preserve">https://pizarroref.com.ar/</t>
  </si>
  <si>
    <t xml:space="preserve">Av. de los Constituyentes 3729, CABA</t>
  </si>
  <si>
    <t xml:space="preserve">Web informativa, sin tienda online ni precios</t>
  </si>
  <si>
    <t xml:space="preserve">Venta en mostrador de equipos y repuestos. Lun a Vie 8:30-12:30 y 14-18, Sab 8:30-13.</t>
  </si>
  <si>
    <t xml:space="preserve">Intess</t>
  </si>
  <si>
    <t xml:space="preserve">https://intess.com.ar/</t>
  </si>
  <si>
    <t xml:space="preserve">CABA/GBA</t>
  </si>
  <si>
    <t xml:space="preserve">No publica direccion</t>
  </si>
  <si>
    <t xml:space="preserve">Fabricante de mensulas; no muestra precios (venta por WhatsApp)</t>
  </si>
  <si>
    <t xml:space="preserve">Mensulas reforzadas 42, 49, 62 y 72 cm en packs de 25 unidades. Interesante si comprás volumen.</t>
  </si>
  <si>
    <t xml:space="preserve">Tiendas fuera del AMBA con precios publicados y envio nacional</t>
  </si>
  <si>
    <t xml:space="preserve">No estan en el AMBA, pero publican precios y despachan a todo el pais. Utiles como referencia de precio o para items que no conseguis cerca.</t>
  </si>
  <si>
    <t xml:space="preserve">Provincia / Localidad</t>
  </si>
  <si>
    <t xml:space="preserve">Precios publicados</t>
  </si>
  <si>
    <t xml:space="preserve">Envia al AMBA</t>
  </si>
  <si>
    <t xml:space="preserve">Por que puede interesarte</t>
  </si>
  <si>
    <t xml:space="preserve">Climatizacion Polar</t>
  </si>
  <si>
    <t xml:space="preserve">https://www.climatizacionpolar.com.ar/</t>
  </si>
  <si>
    <t xml:space="preserve">Esquiu 996, Cordoba</t>
  </si>
  <si>
    <t xml:space="preserve">SI</t>
  </si>
  <si>
    <t xml:space="preserve">Cano de cobre en rollo 15 m desde 1/4 a 7/8, cintas, aislantes, cajas de preinstalacion. 15% off por transferencia o efectivo.</t>
  </si>
  <si>
    <t xml:space="preserve">FRIOREP</t>
  </si>
  <si>
    <t xml:space="preserve">https://tiendafriorep.com.ar/</t>
  </si>
  <si>
    <t xml:space="preserve">Espana 2730, Rosario, Santa Fe</t>
  </si>
  <si>
    <t xml:space="preserve">Si (carrito con checkout)</t>
  </si>
  <si>
    <t xml:space="preserve">Catalogo amplio: cobre, aislantes, cintas, cables, broncerias, valvulas, forzadores y equipos.</t>
  </si>
  <si>
    <t xml:space="preserve">El Rey del Cosito</t>
  </si>
  <si>
    <t xml:space="preserve">https://elreydelcosito.com.ar/</t>
  </si>
  <si>
    <t xml:space="preserve">Fray Luis Beltran, Santa Fe</t>
  </si>
  <si>
    <t xml:space="preserve">Si, a todo el pais</t>
  </si>
  <si>
    <t xml:space="preserve">Tienda Nube muy enfocada en instalacion de AA: kits por frigorias, cintas, aislantes, mensulas, gases. 3 cuotas sin interes.</t>
  </si>
  <si>
    <t xml:space="preserve">Alef Refrigeracion</t>
  </si>
  <si>
    <t xml:space="preserve">https://alef.com.ar/</t>
  </si>
  <si>
    <t xml:space="preserve">Entre Rios (tel. 343)</t>
  </si>
  <si>
    <t xml:space="preserve">Mayorista de repuestos e insumos: motores, compresores, gases, herramientas de medicion, accesorios electricos.</t>
  </si>
  <si>
    <t xml:space="preserve">Alpes Refrigeracion</t>
  </si>
  <si>
    <t xml:space="preserve">https://www.alpesrefrigeracion.com.ar/</t>
  </si>
  <si>
    <t xml:space="preserve">Godoy Cruz, Mendoza</t>
  </si>
  <si>
    <t xml:space="preserve">Si (calcula por CP)</t>
  </si>
  <si>
    <t xml:space="preserve">Publica cobre por metro 1/4, 3/8 y 5/8 con precio de lista y precio con transferencia. Buena referencia comparativa.</t>
  </si>
  <si>
    <t xml:space="preserve">Refrigeracion Avellaneda</t>
  </si>
  <si>
    <t xml:space="preserve">https://refrigeracionavellaneda.com/</t>
  </si>
  <si>
    <t xml:space="preserve">Ruta 11 N 855, Reconquista, Santa Fe</t>
  </si>
  <si>
    <t xml:space="preserve">OJO: pese al nombre NO esta en Avellaneda (Bs. As.). Accesorios para instalacion de AA, 6 cuotas sin interes.</t>
  </si>
  <si>
    <t xml:space="preserve">MR Refrigeracion</t>
  </si>
  <si>
    <t xml:space="preserve">https://refrigeracionmr.com.ar/</t>
  </si>
  <si>
    <t xml:space="preserve">Santa Fe (tel. 342)</t>
  </si>
  <si>
    <t xml:space="preserve">35 anos en el rubro. Manguera de desagote, materiales de instalacion, herramientas, repuestos.</t>
  </si>
  <si>
    <t xml:space="preserve">Agrupacion Duna</t>
  </si>
  <si>
    <t xml:space="preserve">https://agrupacionduna.com/</t>
  </si>
  <si>
    <t xml:space="preserve">Av. Ntra. Sra. del Rosario 312, Rosario</t>
  </si>
  <si>
    <t xml:space="preserve">NO (requiere registro)</t>
  </si>
  <si>
    <t xml:space="preserve">Si</t>
  </si>
  <si>
    <t xml:space="preserve">Distribuidor oficial Elitech. Insumos de AA, cobre, material electrico y herramientas. Hay que registrarse para ver precios.</t>
  </si>
  <si>
    <t xml:space="preserve">Tufresquito</t>
  </si>
  <si>
    <t xml:space="preserve">https://www.tufresquito.com.ar/</t>
  </si>
  <si>
    <t xml:space="preserve">Rio Negro</t>
  </si>
  <si>
    <t xml:space="preserve">Si, envios en el dia</t>
  </si>
  <si>
    <t xml:space="preserve">Buen surtido de cables TPR y canalizacion, pero pide login para ver precios.</t>
  </si>
  <si>
    <t xml:space="preserve">Metodologia, alcance y advertencias</t>
  </si>
  <si>
    <t xml:space="preserve">Fecha del relevamiento</t>
  </si>
  <si>
    <t xml:space="preserve">08/09/2026. Todos los precios fueron leidos de las webs ese dia.</t>
  </si>
  <si>
    <t xml:space="preserve">Criterio de inclusion</t>
  </si>
  <si>
    <t xml:space="preserve">Se incluyeron en la hoja 'Tiendas AMBA' solo comercios que (a) venden materiales e insumos para instalacion de aire acondicionado y refrigeracion, (b) tienen local o deposito en CABA o en el conurbano bonaerense, y (c) publican precios en su propio sitio web, visibles sin registrarse ni iniciar sesion.</t>
  </si>
  <si>
    <t xml:space="preserve">Criterio de exclusion</t>
  </si>
  <si>
    <t xml:space="preserve">Quedaron fuera de la hoja principal: (1) sitios que piden login para ver precios (Ansal, Totaline, FB Repuestos, Repuestos Noroeste, Tufresquito, Agrupacion Duna); (2) sitios sin catalogo con precios (Refrigeracion HK, Vergara, Almagro, Pizarro, Intess); (3) comercios fuera del AMBA aunque envien (van en la hoja 'Fuera del AMBA'); (4) marketplaces como MercadoLibre, porque el pedido era relevar tiendas con precios en SU propia web.</t>
  </si>
  <si>
    <t xml:space="preserve">Como se armo la comparativa</t>
  </si>
  <si>
    <t xml:space="preserve">Se tomaron los items tipicos de una instalacion de split: cano de cobre por medida, cano preaislado, aislaciones, cintas, cable TPR, mensulas, manguera cristal, capacitores y accesorios varios. Cuando la tienda vende por rollo, se cargo el precio del rollo y la cantidad de metros, y la columna 'Precio unitario' calcula por formula el valor por metro para poder comparar contra las que venden fraccionado.</t>
  </si>
  <si>
    <t xml:space="preserve">Que NO significa el precio mas bajo</t>
  </si>
  <si>
    <t xml:space="preserve">Los precios no son estrictamente comparables entre si: algunos ya tienen descuento por efectivo o transferencia aplicado (Freshen, BY PARTS, Norfrig), otros son de lista. Tampoco esta incluido el costo de envio ni el minimo de compra. Antes de decidir, verifica la condicion de pago de cada tienda.</t>
  </si>
  <si>
    <t xml:space="preserve">Volatilidad de precios</t>
  </si>
  <si>
    <t xml:space="preserve">En Argentina los precios de cobre y consumibles se actualizan seguido, y ademas el cobre sigue la cotizacion internacional y el tipo de cambio. Esta planilla es una foto: conviene rehacer el relevamiento antes de cotizar obras grandes.</t>
  </si>
  <si>
    <t xml:space="preserve">Zonas usadas</t>
  </si>
  <si>
    <t xml:space="preserve">CABA / Norte (Vicente Lopez, San Martin, San Isidro, Tigre, Pilar, Tres de Febrero) / Oeste (Moron, Merlo, Marcos Paz, La Matanza) / Sur (Avellaneda, Lanus, Quilmes, Lomas, Ezeiza) / Gran La Plata.</t>
  </si>
  <si>
    <t xml:space="preserve">Sugerencia de uso</t>
  </si>
  <si>
    <t xml:space="preserve">Para una instalacion tipica de 3000 fr conviene comparar el kit armado (Norfrig, BY PARTS) contra la compra suelta (Freshen o FM + mensulas de REPJUL o BY PARTS). En cobre por metro FM Refrigeracion y el rollo de 15 m son consistentemente los valores mas bajos del relevamiento; en capacitores, FM y REPJUL son los dos polos de precio.</t>
  </si>
  <si>
    <t xml:space="preserve">Verificacion</t>
  </si>
  <si>
    <t xml:space="preserve">Cada sitio fue abierto y leido individualmente para confirmar que el precio se muestra sin login, la direccion fisica y la politica de envio. Los casos ambiguos quedaron marcados como PARCIAL o fueron a la hoja de descartados con el motivo.</t>
  </si>
</sst>
</file>

<file path=xl/styles.xml><?xml version="1.0" encoding="utf-8"?>
<styleSheet xmlns="http://schemas.openxmlformats.org/spreadsheetml/2006/main">
  <numFmts count="2">
    <numFmt numFmtId="164" formatCode="General"/>
    <numFmt numFmtId="165" formatCode="\$#,##0.00;&quot;($&quot;#,##0.0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
      <b val="true"/>
      <sz val="10"/>
      <name val="Arial"/>
      <family val="0"/>
      <charset val="1"/>
    </font>
    <font>
      <b val="true"/>
      <sz val="11"/>
      <color rgb="FF1F3864"/>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fmrefrigeracion.com.ar/" TargetMode="External"/><Relationship Id="rId2" Type="http://schemas.openxmlformats.org/officeDocument/2006/relationships/hyperlink" Target="https://www.freshendistribuye.com.ar/" TargetMode="External"/><Relationship Id="rId3" Type="http://schemas.openxmlformats.org/officeDocument/2006/relationships/hyperlink" Target="https://www.refrigeracionmitre.com.ar/" TargetMode="External"/><Relationship Id="rId4" Type="http://schemas.openxmlformats.org/officeDocument/2006/relationships/hyperlink" Target="https://norfrig.com.ar/" TargetMode="External"/><Relationship Id="rId5" Type="http://schemas.openxmlformats.org/officeDocument/2006/relationships/hyperlink" Target="https://www.byparts.com.ar/" TargetMode="External"/><Relationship Id="rId6" Type="http://schemas.openxmlformats.org/officeDocument/2006/relationships/hyperlink" Target="https://tecneclima.com.ar/" TargetMode="External"/><Relationship Id="rId7" Type="http://schemas.openxmlformats.org/officeDocument/2006/relationships/hyperlink" Target="https://www.bellinihnos.com.ar/" TargetMode="External"/><Relationship Id="rId8" Type="http://schemas.openxmlformats.org/officeDocument/2006/relationships/hyperlink" Target="https://www.repjulrefrigeracion.com/" TargetMode="External"/><Relationship Id="rId9" Type="http://schemas.openxmlformats.org/officeDocument/2006/relationships/hyperlink" Target="https://www.electrosplta.com.ar/" TargetMode="External"/><Relationship Id="rId10" Type="http://schemas.openxmlformats.org/officeDocument/2006/relationships/hyperlink" Target="https://delsur-repuestos.com.ar/" TargetMode="External"/><Relationship Id="rId11" Type="http://schemas.openxmlformats.org/officeDocument/2006/relationships/hyperlink" Target="https://insumosrefrigeracionvc.online/" TargetMode="External"/><Relationship Id="rId12" Type="http://schemas.openxmlformats.org/officeDocument/2006/relationships/hyperlink" Target="https://www.refrigeracionnuma.com.ar/" TargetMode="External"/><Relationship Id="rId13" Type="http://schemas.openxmlformats.org/officeDocument/2006/relationships/hyperlink" Target="https://refrigeracionsantelmo.com.ar/" TargetMode="External"/><Relationship Id="rId14" Type="http://schemas.openxmlformats.org/officeDocument/2006/relationships/hyperlink" Target="https://patagoniarepuestos.com.ar/" TargetMode="External"/><Relationship Id="rId15" Type="http://schemas.openxmlformats.org/officeDocument/2006/relationships/hyperlink" Target="https://giovagnini.com.ar/" TargetMode="External"/><Relationship Id="rId16"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ansal.com.ar/" TargetMode="External"/><Relationship Id="rId2" Type="http://schemas.openxmlformats.org/officeDocument/2006/relationships/hyperlink" Target="https://refrigeracionhk.com.ar/shop/" TargetMode="External"/><Relationship Id="rId3" Type="http://schemas.openxmlformats.org/officeDocument/2006/relationships/hyperlink" Target="https://refrigeracionvergara.com.ar/" TargetMode="External"/><Relationship Id="rId4" Type="http://schemas.openxmlformats.org/officeDocument/2006/relationships/hyperlink" Target="https://www.fbrepuestos.com.ar/" TargetMode="External"/><Relationship Id="rId5" Type="http://schemas.openxmlformats.org/officeDocument/2006/relationships/hyperlink" Target="https://www.repuestos-noroeste.com.ar/" TargetMode="External"/><Relationship Id="rId6" Type="http://schemas.openxmlformats.org/officeDocument/2006/relationships/hyperlink" Target="https://www.totaline.com.ar/" TargetMode="External"/><Relationship Id="rId7" Type="http://schemas.openxmlformats.org/officeDocument/2006/relationships/hyperlink" Target="https://www.almagroref.com/" TargetMode="External"/><Relationship Id="rId8" Type="http://schemas.openxmlformats.org/officeDocument/2006/relationships/hyperlink" Target="https://pizarroref.com.ar/" TargetMode="External"/><Relationship Id="rId9" Type="http://schemas.openxmlformats.org/officeDocument/2006/relationships/hyperlink" Target="https://intess.com.ar/"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climatizacionpolar.com.ar/" TargetMode="External"/><Relationship Id="rId2" Type="http://schemas.openxmlformats.org/officeDocument/2006/relationships/hyperlink" Target="https://tiendafriorep.com.ar/" TargetMode="External"/><Relationship Id="rId3" Type="http://schemas.openxmlformats.org/officeDocument/2006/relationships/hyperlink" Target="https://elreydelcosito.com.ar/" TargetMode="External"/><Relationship Id="rId4" Type="http://schemas.openxmlformats.org/officeDocument/2006/relationships/hyperlink" Target="https://alef.com.ar/" TargetMode="External"/><Relationship Id="rId5" Type="http://schemas.openxmlformats.org/officeDocument/2006/relationships/hyperlink" Target="https://www.alpesrefrigeracion.com.ar/" TargetMode="External"/><Relationship Id="rId6" Type="http://schemas.openxmlformats.org/officeDocument/2006/relationships/hyperlink" Target="https://refrigeracionavellaneda.com/" TargetMode="External"/><Relationship Id="rId7" Type="http://schemas.openxmlformats.org/officeDocument/2006/relationships/hyperlink" Target="https://refrigeracionmr.com.ar/" TargetMode="External"/><Relationship Id="rId8" Type="http://schemas.openxmlformats.org/officeDocument/2006/relationships/hyperlink" Target="https://agrupacionduna.com/" TargetMode="External"/><Relationship Id="rId9" Type="http://schemas.openxmlformats.org/officeDocument/2006/relationships/hyperlink" Target="https://www.tufresquito.com.a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34"/>
    <col collapsed="false" customWidth="true" hidden="false" outlineLevel="0" max="4" min="4" style="0" width="13"/>
    <col collapsed="false" customWidth="true" hidden="false" outlineLevel="0" max="5" min="5" style="0" width="38"/>
    <col collapsed="false" customWidth="true" hidden="false" outlineLevel="0" max="6" min="6" style="0" width="52"/>
    <col collapsed="false" customWidth="true" hidden="false" outlineLevel="0" max="8" min="7" style="0" width="30"/>
    <col collapsed="false" customWidth="true" hidden="false" outlineLevel="0" max="9" min="9" style="0" width="24"/>
    <col collapsed="false" customWidth="true" hidden="false" outlineLevel="0" max="10" min="10" style="0" width="42"/>
  </cols>
  <sheetData>
    <row r="1" customFormat="false" ht="17.35" hidden="false" customHeight="false" outlineLevel="0" collapsed="false">
      <c r="A1" s="1" t="s">
        <v>0</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4" customFormat="false" ht="30" hidden="false" customHeight="true" outlineLevel="0" collapsed="false">
      <c r="A4" s="3" t="s">
        <v>2</v>
      </c>
      <c r="B4" s="3" t="s">
        <v>3</v>
      </c>
      <c r="C4" s="3" t="s">
        <v>4</v>
      </c>
      <c r="D4" s="3" t="s">
        <v>5</v>
      </c>
      <c r="E4" s="3" t="s">
        <v>6</v>
      </c>
      <c r="F4" s="3" t="s">
        <v>7</v>
      </c>
      <c r="G4" s="3" t="s">
        <v>8</v>
      </c>
      <c r="H4" s="3" t="s">
        <v>9</v>
      </c>
      <c r="I4" s="3" t="s">
        <v>10</v>
      </c>
      <c r="J4" s="3" t="s">
        <v>11</v>
      </c>
    </row>
    <row r="5" customFormat="false" ht="67.5" hidden="false" customHeight="true" outlineLevel="0" collapsed="false">
      <c r="A5" s="4" t="n">
        <v>1</v>
      </c>
      <c r="B5" s="4" t="s">
        <v>12</v>
      </c>
      <c r="C5" s="5" t="s">
        <v>13</v>
      </c>
      <c r="D5" s="4" t="s">
        <v>14</v>
      </c>
      <c r="E5" s="4" t="s">
        <v>15</v>
      </c>
      <c r="F5" s="4" t="s">
        <v>16</v>
      </c>
      <c r="G5" s="4" t="s">
        <v>17</v>
      </c>
      <c r="H5" s="4" t="s">
        <v>18</v>
      </c>
      <c r="I5" s="4" t="s">
        <v>19</v>
      </c>
      <c r="J5" s="4" t="s">
        <v>20</v>
      </c>
    </row>
    <row r="6" customFormat="false" ht="67.5" hidden="false" customHeight="true" outlineLevel="0" collapsed="false">
      <c r="A6" s="4" t="n">
        <v>2</v>
      </c>
      <c r="B6" s="4" t="s">
        <v>21</v>
      </c>
      <c r="C6" s="5" t="s">
        <v>22</v>
      </c>
      <c r="D6" s="4" t="s">
        <v>23</v>
      </c>
      <c r="E6" s="4" t="s">
        <v>24</v>
      </c>
      <c r="F6" s="4" t="s">
        <v>25</v>
      </c>
      <c r="G6" s="4" t="s">
        <v>26</v>
      </c>
      <c r="H6" s="4" t="s">
        <v>27</v>
      </c>
      <c r="I6" s="4" t="s">
        <v>28</v>
      </c>
      <c r="J6" s="4" t="s">
        <v>29</v>
      </c>
    </row>
    <row r="7" customFormat="false" ht="67.5" hidden="false" customHeight="true" outlineLevel="0" collapsed="false">
      <c r="A7" s="4" t="n">
        <v>3</v>
      </c>
      <c r="B7" s="4" t="s">
        <v>30</v>
      </c>
      <c r="C7" s="5" t="s">
        <v>31</v>
      </c>
      <c r="D7" s="4" t="s">
        <v>32</v>
      </c>
      <c r="E7" s="4" t="s">
        <v>33</v>
      </c>
      <c r="F7" s="4" t="s">
        <v>34</v>
      </c>
      <c r="G7" s="4" t="s">
        <v>35</v>
      </c>
      <c r="H7" s="4" t="s">
        <v>36</v>
      </c>
      <c r="I7" s="4" t="s">
        <v>37</v>
      </c>
      <c r="J7" s="4" t="s">
        <v>38</v>
      </c>
    </row>
    <row r="8" customFormat="false" ht="67.5" hidden="false" customHeight="true" outlineLevel="0" collapsed="false">
      <c r="A8" s="4" t="n">
        <v>4</v>
      </c>
      <c r="B8" s="4" t="s">
        <v>39</v>
      </c>
      <c r="C8" s="5" t="s">
        <v>40</v>
      </c>
      <c r="D8" s="4" t="s">
        <v>41</v>
      </c>
      <c r="E8" s="4" t="s">
        <v>42</v>
      </c>
      <c r="F8" s="4" t="s">
        <v>43</v>
      </c>
      <c r="G8" s="4" t="s">
        <v>44</v>
      </c>
      <c r="H8" s="4" t="s">
        <v>45</v>
      </c>
      <c r="I8" s="4" t="s">
        <v>46</v>
      </c>
      <c r="J8" s="4" t="s">
        <v>47</v>
      </c>
    </row>
    <row r="9" customFormat="false" ht="67.5" hidden="false" customHeight="true" outlineLevel="0" collapsed="false">
      <c r="A9" s="4" t="n">
        <v>5</v>
      </c>
      <c r="B9" s="4" t="s">
        <v>48</v>
      </c>
      <c r="C9" s="5" t="s">
        <v>49</v>
      </c>
      <c r="D9" s="4" t="s">
        <v>32</v>
      </c>
      <c r="E9" s="4" t="s">
        <v>50</v>
      </c>
      <c r="F9" s="4" t="s">
        <v>51</v>
      </c>
      <c r="G9" s="4" t="s">
        <v>52</v>
      </c>
      <c r="H9" s="4" t="s">
        <v>53</v>
      </c>
      <c r="I9" s="4" t="s">
        <v>54</v>
      </c>
      <c r="J9" s="4" t="s">
        <v>55</v>
      </c>
    </row>
    <row r="10" customFormat="false" ht="67.5" hidden="false" customHeight="true" outlineLevel="0" collapsed="false">
      <c r="A10" s="4" t="n">
        <v>6</v>
      </c>
      <c r="B10" s="4" t="s">
        <v>56</v>
      </c>
      <c r="C10" s="5" t="s">
        <v>57</v>
      </c>
      <c r="D10" s="4" t="s">
        <v>23</v>
      </c>
      <c r="E10" s="4" t="s">
        <v>58</v>
      </c>
      <c r="F10" s="4" t="s">
        <v>59</v>
      </c>
      <c r="G10" s="4" t="s">
        <v>60</v>
      </c>
      <c r="H10" s="4" t="s">
        <v>61</v>
      </c>
      <c r="I10" s="4" t="s">
        <v>62</v>
      </c>
      <c r="J10" s="4" t="s">
        <v>63</v>
      </c>
    </row>
    <row r="11" customFormat="false" ht="67.5" hidden="false" customHeight="true" outlineLevel="0" collapsed="false">
      <c r="A11" s="4" t="n">
        <v>7</v>
      </c>
      <c r="B11" s="4" t="s">
        <v>64</v>
      </c>
      <c r="C11" s="5" t="s">
        <v>65</v>
      </c>
      <c r="D11" s="4" t="s">
        <v>23</v>
      </c>
      <c r="E11" s="4" t="s">
        <v>66</v>
      </c>
      <c r="F11" s="4" t="s">
        <v>67</v>
      </c>
      <c r="G11" s="4" t="s">
        <v>68</v>
      </c>
      <c r="H11" s="4" t="s">
        <v>69</v>
      </c>
      <c r="I11" s="4" t="s">
        <v>70</v>
      </c>
      <c r="J11" s="4" t="s">
        <v>71</v>
      </c>
    </row>
    <row r="12" customFormat="false" ht="67.5" hidden="false" customHeight="true" outlineLevel="0" collapsed="false">
      <c r="A12" s="4" t="n">
        <v>8</v>
      </c>
      <c r="B12" s="4" t="s">
        <v>72</v>
      </c>
      <c r="C12" s="5" t="s">
        <v>73</v>
      </c>
      <c r="D12" s="4" t="s">
        <v>74</v>
      </c>
      <c r="E12" s="4" t="s">
        <v>75</v>
      </c>
      <c r="F12" s="4" t="s">
        <v>76</v>
      </c>
      <c r="G12" s="4" t="s">
        <v>77</v>
      </c>
      <c r="H12" s="4" t="s">
        <v>78</v>
      </c>
      <c r="I12" s="4" t="s">
        <v>79</v>
      </c>
      <c r="J12" s="4" t="s">
        <v>80</v>
      </c>
    </row>
    <row r="13" customFormat="false" ht="67.5" hidden="false" customHeight="true" outlineLevel="0" collapsed="false">
      <c r="A13" s="4" t="n">
        <v>9</v>
      </c>
      <c r="B13" s="4" t="s">
        <v>81</v>
      </c>
      <c r="C13" s="5" t="s">
        <v>82</v>
      </c>
      <c r="D13" s="4" t="s">
        <v>23</v>
      </c>
      <c r="E13" s="4" t="s">
        <v>83</v>
      </c>
      <c r="F13" s="4" t="s">
        <v>84</v>
      </c>
      <c r="G13" s="4" t="s">
        <v>85</v>
      </c>
      <c r="H13" s="4" t="s">
        <v>86</v>
      </c>
      <c r="I13" s="4" t="s">
        <v>87</v>
      </c>
      <c r="J13" s="4" t="s">
        <v>88</v>
      </c>
    </row>
    <row r="14" customFormat="false" ht="67.5" hidden="false" customHeight="true" outlineLevel="0" collapsed="false">
      <c r="A14" s="4" t="n">
        <v>10</v>
      </c>
      <c r="B14" s="4" t="s">
        <v>89</v>
      </c>
      <c r="C14" s="5" t="s">
        <v>90</v>
      </c>
      <c r="D14" s="4" t="s">
        <v>32</v>
      </c>
      <c r="E14" s="4" t="s">
        <v>91</v>
      </c>
      <c r="F14" s="4" t="s">
        <v>92</v>
      </c>
      <c r="G14" s="4" t="s">
        <v>52</v>
      </c>
      <c r="H14" s="4" t="s">
        <v>69</v>
      </c>
      <c r="I14" s="4" t="s">
        <v>93</v>
      </c>
      <c r="J14" s="4" t="s">
        <v>94</v>
      </c>
    </row>
    <row r="15" customFormat="false" ht="67.5" hidden="false" customHeight="true" outlineLevel="0" collapsed="false">
      <c r="A15" s="4" t="n">
        <v>11</v>
      </c>
      <c r="B15" s="4" t="s">
        <v>95</v>
      </c>
      <c r="C15" s="5" t="s">
        <v>96</v>
      </c>
      <c r="D15" s="4" t="s">
        <v>74</v>
      </c>
      <c r="E15" s="4" t="s">
        <v>97</v>
      </c>
      <c r="F15" s="4" t="s">
        <v>98</v>
      </c>
      <c r="G15" s="4" t="s">
        <v>99</v>
      </c>
      <c r="H15" s="4" t="s">
        <v>100</v>
      </c>
      <c r="I15" s="4" t="s">
        <v>101</v>
      </c>
      <c r="J15" s="4" t="s">
        <v>102</v>
      </c>
    </row>
    <row r="16" customFormat="false" ht="67.5" hidden="false" customHeight="true" outlineLevel="0" collapsed="false">
      <c r="A16" s="4" t="n">
        <v>12</v>
      </c>
      <c r="B16" s="4" t="s">
        <v>103</v>
      </c>
      <c r="C16" s="5" t="s">
        <v>104</v>
      </c>
      <c r="D16" s="4" t="s">
        <v>105</v>
      </c>
      <c r="E16" s="4" t="s">
        <v>106</v>
      </c>
      <c r="F16" s="4" t="s">
        <v>107</v>
      </c>
      <c r="G16" s="4" t="s">
        <v>108</v>
      </c>
      <c r="H16" s="4" t="s">
        <v>109</v>
      </c>
      <c r="I16" s="4" t="s">
        <v>110</v>
      </c>
      <c r="J16" s="4" t="s">
        <v>111</v>
      </c>
    </row>
    <row r="17" customFormat="false" ht="67.5" hidden="false" customHeight="true" outlineLevel="0" collapsed="false">
      <c r="A17" s="4" t="n">
        <v>13</v>
      </c>
      <c r="B17" s="4" t="s">
        <v>112</v>
      </c>
      <c r="C17" s="5" t="s">
        <v>113</v>
      </c>
      <c r="D17" s="4" t="s">
        <v>23</v>
      </c>
      <c r="E17" s="4" t="s">
        <v>114</v>
      </c>
      <c r="F17" s="4" t="s">
        <v>115</v>
      </c>
      <c r="G17" s="4" t="s">
        <v>116</v>
      </c>
      <c r="H17" s="4" t="s">
        <v>117</v>
      </c>
      <c r="I17" s="4" t="s">
        <v>118</v>
      </c>
      <c r="J17" s="4" t="s">
        <v>119</v>
      </c>
    </row>
    <row r="18" customFormat="false" ht="67.5" hidden="false" customHeight="true" outlineLevel="0" collapsed="false">
      <c r="A18" s="4" t="n">
        <v>14</v>
      </c>
      <c r="B18" s="4" t="s">
        <v>120</v>
      </c>
      <c r="C18" s="5" t="s">
        <v>121</v>
      </c>
      <c r="D18" s="4" t="s">
        <v>74</v>
      </c>
      <c r="E18" s="4" t="s">
        <v>122</v>
      </c>
      <c r="F18" s="4" t="s">
        <v>123</v>
      </c>
      <c r="G18" s="4" t="s">
        <v>124</v>
      </c>
      <c r="H18" s="4" t="s">
        <v>125</v>
      </c>
      <c r="I18" s="4" t="s">
        <v>126</v>
      </c>
      <c r="J18" s="4" t="s">
        <v>127</v>
      </c>
    </row>
    <row r="19" customFormat="false" ht="67.5" hidden="false" customHeight="true" outlineLevel="0" collapsed="false">
      <c r="A19" s="4" t="n">
        <v>15</v>
      </c>
      <c r="B19" s="4" t="s">
        <v>128</v>
      </c>
      <c r="C19" s="5" t="s">
        <v>129</v>
      </c>
      <c r="D19" s="4" t="s">
        <v>130</v>
      </c>
      <c r="E19" s="4" t="s">
        <v>131</v>
      </c>
      <c r="F19" s="4" t="s">
        <v>132</v>
      </c>
      <c r="G19" s="4" t="s">
        <v>133</v>
      </c>
      <c r="H19" s="4" t="s">
        <v>134</v>
      </c>
      <c r="I19" s="4" t="s">
        <v>135</v>
      </c>
      <c r="J19" s="4" t="s">
        <v>136</v>
      </c>
    </row>
  </sheetData>
  <autoFilter ref="A4:J19"/>
  <mergeCells count="2">
    <mergeCell ref="A1:J1"/>
    <mergeCell ref="A2:J2"/>
  </mergeCells>
  <hyperlinks>
    <hyperlink ref="C5" r:id="rId1" display="https://www.fmrefrigeracion.com.ar/"/>
    <hyperlink ref="C6" r:id="rId2" display="https://www.freshendistribuye.com.ar/"/>
    <hyperlink ref="C7" r:id="rId3" display="https://www.refrigeracionmitre.com.ar/"/>
    <hyperlink ref="C8" r:id="rId4" display="https://norfrig.com.ar/"/>
    <hyperlink ref="C9" r:id="rId5" display="https://www.byparts.com.ar/"/>
    <hyperlink ref="C10" r:id="rId6" display="https://tecneclima.com.ar/"/>
    <hyperlink ref="C11" r:id="rId7" display="https://www.bellinihnos.com.ar/"/>
    <hyperlink ref="C12" r:id="rId8" display="https://www.repjulrefrigeracion.com/"/>
    <hyperlink ref="C13" r:id="rId9" display="https://www.electrosplta.com.ar/"/>
    <hyperlink ref="C14" r:id="rId10" display="https://delsur-repuestos.com.ar/"/>
    <hyperlink ref="C15" r:id="rId11" display="https://insumosrefrigeracionvc.online/"/>
    <hyperlink ref="C16" r:id="rId12" display="https://www.refrigeracionnuma.com.ar/"/>
    <hyperlink ref="C17" r:id="rId13" display="https://refrigeracionsantelmo.com.ar/"/>
    <hyperlink ref="C18" r:id="rId14" display="https://patagoniarepuestos.com.ar/"/>
    <hyperlink ref="C19" r:id="rId15" display="https://giovagnini.com.a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24"/>
    <col collapsed="false" customWidth="true" hidden="false" outlineLevel="0" max="4" min="4" style="0" width="10"/>
    <col collapsed="false" customWidth="true" hidden="false" outlineLevel="0" max="5" min="5" style="0" width="24"/>
    <col collapsed="false" customWidth="true" hidden="false" outlineLevel="0" max="6" min="6" style="0" width="12"/>
    <col collapsed="false" customWidth="true" hidden="false" outlineLevel="0" max="7" min="7" style="0" width="17"/>
    <col collapsed="false" customWidth="true" hidden="false" outlineLevel="0" max="8" min="8" style="0" width="13"/>
    <col collapsed="false" customWidth="true" hidden="false" outlineLevel="0" max="9" min="9" style="0" width="17"/>
    <col collapsed="false" customWidth="true" hidden="false" outlineLevel="0" max="10" min="10" style="0" width="46"/>
  </cols>
  <sheetData>
    <row r="1" customFormat="false" ht="17.35" hidden="false" customHeight="false" outlineLevel="0" collapsed="false">
      <c r="A1" s="1" t="s">
        <v>137</v>
      </c>
      <c r="B1" s="1"/>
      <c r="C1" s="1"/>
      <c r="D1" s="1"/>
      <c r="E1" s="1"/>
      <c r="F1" s="1"/>
      <c r="G1" s="1"/>
      <c r="H1" s="1"/>
      <c r="I1" s="1"/>
      <c r="J1" s="1"/>
    </row>
    <row r="2" customFormat="false" ht="15" hidden="false" customHeight="false" outlineLevel="0" collapsed="false">
      <c r="A2" s="2" t="s">
        <v>138</v>
      </c>
      <c r="B2" s="2"/>
      <c r="C2" s="2"/>
      <c r="D2" s="2"/>
      <c r="E2" s="2"/>
      <c r="F2" s="2"/>
      <c r="G2" s="2"/>
      <c r="H2" s="2"/>
      <c r="I2" s="2"/>
      <c r="J2" s="2"/>
    </row>
    <row r="4" customFormat="false" ht="30" hidden="false" customHeight="true" outlineLevel="0" collapsed="false">
      <c r="A4" s="3" t="s">
        <v>139</v>
      </c>
      <c r="B4" s="3" t="s">
        <v>140</v>
      </c>
      <c r="C4" s="3" t="s">
        <v>141</v>
      </c>
      <c r="D4" s="3" t="s">
        <v>142</v>
      </c>
      <c r="E4" s="3" t="s">
        <v>3</v>
      </c>
      <c r="F4" s="3" t="s">
        <v>5</v>
      </c>
      <c r="G4" s="3" t="s">
        <v>143</v>
      </c>
      <c r="H4" s="3" t="s">
        <v>144</v>
      </c>
      <c r="I4" s="3" t="s">
        <v>145</v>
      </c>
      <c r="J4" s="3" t="s">
        <v>146</v>
      </c>
    </row>
    <row r="5" customFormat="false" ht="15" hidden="false" customHeight="false" outlineLevel="0" collapsed="false">
      <c r="A5" s="4" t="s">
        <v>147</v>
      </c>
      <c r="B5" s="4" t="s">
        <v>148</v>
      </c>
      <c r="C5" s="4" t="s">
        <v>149</v>
      </c>
      <c r="D5" s="4" t="s">
        <v>150</v>
      </c>
      <c r="E5" s="4" t="s">
        <v>12</v>
      </c>
      <c r="F5" s="4" t="s">
        <v>14</v>
      </c>
      <c r="G5" s="6" t="n">
        <v>5839.47</v>
      </c>
      <c r="H5" s="4" t="n">
        <v>1</v>
      </c>
      <c r="I5" s="7" t="n">
        <f aca="false">IF(H5=0,"",G5/H5)</f>
        <v>5839.47</v>
      </c>
      <c r="J5" s="4" t="s">
        <v>151</v>
      </c>
    </row>
    <row r="6" customFormat="false" ht="15" hidden="false" customHeight="false" outlineLevel="0" collapsed="false">
      <c r="A6" s="4" t="s">
        <v>147</v>
      </c>
      <c r="B6" s="4" t="s">
        <v>148</v>
      </c>
      <c r="C6" s="4" t="s">
        <v>149</v>
      </c>
      <c r="D6" s="4" t="s">
        <v>150</v>
      </c>
      <c r="E6" s="4" t="s">
        <v>56</v>
      </c>
      <c r="F6" s="4" t="s">
        <v>23</v>
      </c>
      <c r="G6" s="6" t="n">
        <v>7999</v>
      </c>
      <c r="H6" s="4" t="n">
        <v>1</v>
      </c>
      <c r="I6" s="7" t="n">
        <f aca="false">IF(H6=0,"",G6/H6)</f>
        <v>7999</v>
      </c>
      <c r="J6" s="4" t="s">
        <v>152</v>
      </c>
    </row>
    <row r="7" customFormat="false" ht="15" hidden="false" customHeight="false" outlineLevel="0" collapsed="false">
      <c r="A7" s="4" t="s">
        <v>147</v>
      </c>
      <c r="B7" s="4" t="s">
        <v>148</v>
      </c>
      <c r="C7" s="4" t="s">
        <v>153</v>
      </c>
      <c r="D7" s="4" t="s">
        <v>150</v>
      </c>
      <c r="E7" s="4" t="s">
        <v>12</v>
      </c>
      <c r="F7" s="4" t="s">
        <v>14</v>
      </c>
      <c r="G7" s="6" t="n">
        <v>83421</v>
      </c>
      <c r="H7" s="4" t="n">
        <v>15</v>
      </c>
      <c r="I7" s="7" t="n">
        <f aca="false">IF(H7=0,"",G7/H7)</f>
        <v>5561.4</v>
      </c>
      <c r="J7" s="4" t="s">
        <v>154</v>
      </c>
    </row>
    <row r="8" customFormat="false" ht="15" hidden="false" customHeight="false" outlineLevel="0" collapsed="false">
      <c r="A8" s="4" t="s">
        <v>147</v>
      </c>
      <c r="B8" s="4" t="s">
        <v>148</v>
      </c>
      <c r="C8" s="4" t="s">
        <v>153</v>
      </c>
      <c r="D8" s="4" t="s">
        <v>150</v>
      </c>
      <c r="E8" s="4" t="s">
        <v>21</v>
      </c>
      <c r="F8" s="4" t="s">
        <v>23</v>
      </c>
      <c r="G8" s="6" t="n">
        <v>97259.4</v>
      </c>
      <c r="H8" s="4" t="n">
        <v>15</v>
      </c>
      <c r="I8" s="7" t="n">
        <f aca="false">IF(H8=0,"",G8/H8)</f>
        <v>6483.96</v>
      </c>
      <c r="J8" s="4" t="s">
        <v>155</v>
      </c>
    </row>
    <row r="9" customFormat="false" ht="15" hidden="false" customHeight="false" outlineLevel="0" collapsed="false">
      <c r="A9" s="4" t="s">
        <v>147</v>
      </c>
      <c r="B9" s="4" t="s">
        <v>156</v>
      </c>
      <c r="C9" s="4" t="s">
        <v>149</v>
      </c>
      <c r="D9" s="4" t="s">
        <v>150</v>
      </c>
      <c r="E9" s="4" t="s">
        <v>12</v>
      </c>
      <c r="F9" s="4" t="s">
        <v>14</v>
      </c>
      <c r="G9" s="6" t="n">
        <v>9527.31</v>
      </c>
      <c r="H9" s="4" t="n">
        <v>1</v>
      </c>
      <c r="I9" s="7" t="n">
        <f aca="false">IF(H9=0,"",G9/H9)</f>
        <v>9527.31</v>
      </c>
      <c r="J9" s="4" t="s">
        <v>151</v>
      </c>
    </row>
    <row r="10" customFormat="false" ht="15" hidden="false" customHeight="false" outlineLevel="0" collapsed="false">
      <c r="A10" s="4" t="s">
        <v>147</v>
      </c>
      <c r="B10" s="4" t="s">
        <v>156</v>
      </c>
      <c r="C10" s="4" t="s">
        <v>149</v>
      </c>
      <c r="D10" s="4" t="s">
        <v>150</v>
      </c>
      <c r="E10" s="4" t="s">
        <v>56</v>
      </c>
      <c r="F10" s="4" t="s">
        <v>23</v>
      </c>
      <c r="G10" s="6" t="n">
        <v>12700</v>
      </c>
      <c r="H10" s="4" t="n">
        <v>1</v>
      </c>
      <c r="I10" s="7" t="n">
        <f aca="false">IF(H10=0,"",G10/H10)</f>
        <v>12700</v>
      </c>
      <c r="J10" s="4" t="s">
        <v>152</v>
      </c>
    </row>
    <row r="11" customFormat="false" ht="15" hidden="false" customHeight="false" outlineLevel="0" collapsed="false">
      <c r="A11" s="4" t="s">
        <v>147</v>
      </c>
      <c r="B11" s="4" t="s">
        <v>156</v>
      </c>
      <c r="C11" s="4" t="s">
        <v>153</v>
      </c>
      <c r="D11" s="4" t="s">
        <v>150</v>
      </c>
      <c r="E11" s="4" t="s">
        <v>12</v>
      </c>
      <c r="F11" s="4" t="s">
        <v>14</v>
      </c>
      <c r="G11" s="6" t="n">
        <v>136114.99</v>
      </c>
      <c r="H11" s="4" t="n">
        <v>15</v>
      </c>
      <c r="I11" s="7" t="n">
        <f aca="false">IF(H11=0,"",G11/H11)</f>
        <v>9074.33266666667</v>
      </c>
      <c r="J11" s="4" t="s">
        <v>154</v>
      </c>
    </row>
    <row r="12" customFormat="false" ht="15" hidden="false" customHeight="false" outlineLevel="0" collapsed="false">
      <c r="A12" s="4" t="s">
        <v>147</v>
      </c>
      <c r="B12" s="4" t="s">
        <v>156</v>
      </c>
      <c r="C12" s="4" t="s">
        <v>153</v>
      </c>
      <c r="D12" s="4" t="s">
        <v>150</v>
      </c>
      <c r="E12" s="4" t="s">
        <v>21</v>
      </c>
      <c r="F12" s="4" t="s">
        <v>23</v>
      </c>
      <c r="G12" s="6" t="n">
        <v>145845</v>
      </c>
      <c r="H12" s="4" t="n">
        <v>15</v>
      </c>
      <c r="I12" s="7" t="n">
        <f aca="false">IF(H12=0,"",G12/H12)</f>
        <v>9723</v>
      </c>
      <c r="J12" s="4" t="s">
        <v>154</v>
      </c>
    </row>
    <row r="13" customFormat="false" ht="15" hidden="false" customHeight="false" outlineLevel="0" collapsed="false">
      <c r="A13" s="4" t="s">
        <v>147</v>
      </c>
      <c r="B13" s="4" t="s">
        <v>157</v>
      </c>
      <c r="C13" s="4" t="s">
        <v>149</v>
      </c>
      <c r="D13" s="4" t="s">
        <v>150</v>
      </c>
      <c r="E13" s="4" t="s">
        <v>12</v>
      </c>
      <c r="F13" s="4" t="s">
        <v>14</v>
      </c>
      <c r="G13" s="6" t="n">
        <v>12478.05</v>
      </c>
      <c r="H13" s="4" t="n">
        <v>1</v>
      </c>
      <c r="I13" s="7" t="n">
        <f aca="false">IF(H13=0,"",G13/H13)</f>
        <v>12478.05</v>
      </c>
      <c r="J13" s="4" t="s">
        <v>151</v>
      </c>
    </row>
    <row r="14" customFormat="false" ht="15" hidden="false" customHeight="false" outlineLevel="0" collapsed="false">
      <c r="A14" s="4" t="s">
        <v>147</v>
      </c>
      <c r="B14" s="4" t="s">
        <v>157</v>
      </c>
      <c r="C14" s="4" t="s">
        <v>149</v>
      </c>
      <c r="D14" s="4" t="s">
        <v>150</v>
      </c>
      <c r="E14" s="4" t="s">
        <v>56</v>
      </c>
      <c r="F14" s="4" t="s">
        <v>23</v>
      </c>
      <c r="G14" s="6" t="n">
        <v>17700</v>
      </c>
      <c r="H14" s="4" t="n">
        <v>1</v>
      </c>
      <c r="I14" s="7" t="n">
        <f aca="false">IF(H14=0,"",G14/H14)</f>
        <v>17700</v>
      </c>
      <c r="J14" s="4" t="s">
        <v>152</v>
      </c>
    </row>
    <row r="15" customFormat="false" ht="15" hidden="false" customHeight="false" outlineLevel="0" collapsed="false">
      <c r="A15" s="4" t="s">
        <v>147</v>
      </c>
      <c r="B15" s="4" t="s">
        <v>157</v>
      </c>
      <c r="C15" s="4" t="s">
        <v>153</v>
      </c>
      <c r="D15" s="4" t="s">
        <v>150</v>
      </c>
      <c r="E15" s="4" t="s">
        <v>12</v>
      </c>
      <c r="F15" s="4" t="s">
        <v>14</v>
      </c>
      <c r="G15" s="6" t="n">
        <v>178267.22</v>
      </c>
      <c r="H15" s="4" t="n">
        <v>15</v>
      </c>
      <c r="I15" s="7" t="n">
        <f aca="false">IF(H15=0,"",G15/H15)</f>
        <v>11884.4813333333</v>
      </c>
      <c r="J15" s="4" t="s">
        <v>154</v>
      </c>
    </row>
    <row r="16" customFormat="false" ht="15" hidden="false" customHeight="false" outlineLevel="0" collapsed="false">
      <c r="A16" s="4" t="s">
        <v>147</v>
      </c>
      <c r="B16" s="4" t="s">
        <v>157</v>
      </c>
      <c r="C16" s="4" t="s">
        <v>153</v>
      </c>
      <c r="D16" s="4" t="s">
        <v>150</v>
      </c>
      <c r="E16" s="4" t="s">
        <v>21</v>
      </c>
      <c r="F16" s="4" t="s">
        <v>23</v>
      </c>
      <c r="G16" s="6" t="n">
        <v>208635</v>
      </c>
      <c r="H16" s="4" t="n">
        <v>15</v>
      </c>
      <c r="I16" s="7" t="n">
        <f aca="false">IF(H16=0,"",G16/H16)</f>
        <v>13909</v>
      </c>
      <c r="J16" s="4" t="s">
        <v>154</v>
      </c>
    </row>
    <row r="17" customFormat="false" ht="15" hidden="false" customHeight="false" outlineLevel="0" collapsed="false">
      <c r="A17" s="4" t="s">
        <v>147</v>
      </c>
      <c r="B17" s="4" t="s">
        <v>158</v>
      </c>
      <c r="C17" s="4" t="s">
        <v>149</v>
      </c>
      <c r="D17" s="4" t="s">
        <v>150</v>
      </c>
      <c r="E17" s="4" t="s">
        <v>12</v>
      </c>
      <c r="F17" s="4" t="s">
        <v>14</v>
      </c>
      <c r="G17" s="6" t="n">
        <v>15889.77</v>
      </c>
      <c r="H17" s="4" t="n">
        <v>1</v>
      </c>
      <c r="I17" s="7" t="n">
        <f aca="false">IF(H17=0,"",G17/H17)</f>
        <v>15889.77</v>
      </c>
      <c r="J17" s="4" t="s">
        <v>151</v>
      </c>
    </row>
    <row r="18" customFormat="false" ht="15" hidden="false" customHeight="false" outlineLevel="0" collapsed="false">
      <c r="A18" s="4" t="s">
        <v>147</v>
      </c>
      <c r="B18" s="4" t="s">
        <v>158</v>
      </c>
      <c r="C18" s="4" t="s">
        <v>149</v>
      </c>
      <c r="D18" s="4" t="s">
        <v>150</v>
      </c>
      <c r="E18" s="4" t="s">
        <v>56</v>
      </c>
      <c r="F18" s="4" t="s">
        <v>23</v>
      </c>
      <c r="G18" s="6" t="n">
        <v>21900</v>
      </c>
      <c r="H18" s="4" t="n">
        <v>1</v>
      </c>
      <c r="I18" s="7" t="n">
        <f aca="false">IF(H18=0,"",G18/H18)</f>
        <v>21900</v>
      </c>
      <c r="J18" s="4" t="s">
        <v>152</v>
      </c>
    </row>
    <row r="19" customFormat="false" ht="15" hidden="false" customHeight="false" outlineLevel="0" collapsed="false">
      <c r="A19" s="4" t="s">
        <v>147</v>
      </c>
      <c r="B19" s="4" t="s">
        <v>158</v>
      </c>
      <c r="C19" s="4" t="s">
        <v>153</v>
      </c>
      <c r="D19" s="4" t="s">
        <v>150</v>
      </c>
      <c r="E19" s="4" t="s">
        <v>21</v>
      </c>
      <c r="F19" s="4" t="s">
        <v>23</v>
      </c>
      <c r="G19" s="6" t="n">
        <v>264327</v>
      </c>
      <c r="H19" s="4" t="n">
        <v>15</v>
      </c>
      <c r="I19" s="7" t="n">
        <f aca="false">IF(H19=0,"",G19/H19)</f>
        <v>17621.8</v>
      </c>
      <c r="J19" s="4" t="s">
        <v>154</v>
      </c>
    </row>
    <row r="20" customFormat="false" ht="15" hidden="false" customHeight="false" outlineLevel="0" collapsed="false">
      <c r="A20" s="4" t="s">
        <v>147</v>
      </c>
      <c r="B20" s="4" t="s">
        <v>159</v>
      </c>
      <c r="C20" s="4" t="s">
        <v>149</v>
      </c>
      <c r="D20" s="4" t="s">
        <v>150</v>
      </c>
      <c r="E20" s="4" t="s">
        <v>56</v>
      </c>
      <c r="F20" s="4" t="s">
        <v>23</v>
      </c>
      <c r="G20" s="6" t="n">
        <v>26600</v>
      </c>
      <c r="H20" s="4" t="n">
        <v>1</v>
      </c>
      <c r="I20" s="7" t="n">
        <f aca="false">IF(H20=0,"",G20/H20)</f>
        <v>26600</v>
      </c>
      <c r="J20" s="4" t="s">
        <v>152</v>
      </c>
    </row>
    <row r="21" customFormat="false" ht="15" hidden="false" customHeight="false" outlineLevel="0" collapsed="false">
      <c r="A21" s="4" t="s">
        <v>147</v>
      </c>
      <c r="B21" s="4" t="s">
        <v>159</v>
      </c>
      <c r="C21" s="4" t="s">
        <v>153</v>
      </c>
      <c r="D21" s="4" t="s">
        <v>150</v>
      </c>
      <c r="E21" s="4" t="s">
        <v>21</v>
      </c>
      <c r="F21" s="4" t="s">
        <v>23</v>
      </c>
      <c r="G21" s="6" t="n">
        <v>320040</v>
      </c>
      <c r="H21" s="4" t="n">
        <v>15</v>
      </c>
      <c r="I21" s="7" t="n">
        <f aca="false">IF(H21=0,"",G21/H21)</f>
        <v>21336</v>
      </c>
      <c r="J21" s="4" t="s">
        <v>154</v>
      </c>
    </row>
    <row r="22" customFormat="false" ht="15" hidden="false" customHeight="false" outlineLevel="0" collapsed="false">
      <c r="A22" s="4" t="s">
        <v>147</v>
      </c>
      <c r="B22" s="4" t="s">
        <v>160</v>
      </c>
      <c r="C22" s="4" t="s">
        <v>149</v>
      </c>
      <c r="D22" s="4" t="s">
        <v>150</v>
      </c>
      <c r="E22" s="4" t="s">
        <v>56</v>
      </c>
      <c r="F22" s="4" t="s">
        <v>23</v>
      </c>
      <c r="G22" s="6" t="n">
        <v>10000</v>
      </c>
      <c r="H22" s="4" t="n">
        <v>1</v>
      </c>
      <c r="I22" s="7" t="n">
        <f aca="false">IF(H22=0,"",G22/H22)</f>
        <v>10000</v>
      </c>
      <c r="J22" s="4" t="s">
        <v>152</v>
      </c>
    </row>
    <row r="23" customFormat="false" ht="15" hidden="false" customHeight="false" outlineLevel="0" collapsed="false">
      <c r="A23" s="4" t="s">
        <v>161</v>
      </c>
      <c r="B23" s="4" t="s">
        <v>162</v>
      </c>
      <c r="C23" s="4" t="s">
        <v>163</v>
      </c>
      <c r="D23" s="4" t="s">
        <v>150</v>
      </c>
      <c r="E23" s="4" t="s">
        <v>64</v>
      </c>
      <c r="F23" s="4" t="s">
        <v>23</v>
      </c>
      <c r="G23" s="6" t="n">
        <v>173352</v>
      </c>
      <c r="H23" s="4" t="n">
        <v>25</v>
      </c>
      <c r="I23" s="7" t="n">
        <f aca="false">IF(H23=0,"",G23/H23)</f>
        <v>6934.08</v>
      </c>
      <c r="J23" s="4" t="s">
        <v>164</v>
      </c>
    </row>
    <row r="24" customFormat="false" ht="15" hidden="false" customHeight="false" outlineLevel="0" collapsed="false">
      <c r="A24" s="4" t="s">
        <v>161</v>
      </c>
      <c r="B24" s="4" t="s">
        <v>165</v>
      </c>
      <c r="C24" s="4" t="s">
        <v>163</v>
      </c>
      <c r="D24" s="4" t="s">
        <v>150</v>
      </c>
      <c r="E24" s="4" t="s">
        <v>64</v>
      </c>
      <c r="F24" s="4" t="s">
        <v>23</v>
      </c>
      <c r="G24" s="6" t="n">
        <v>183551</v>
      </c>
      <c r="H24" s="4" t="n">
        <v>25</v>
      </c>
      <c r="I24" s="7" t="n">
        <f aca="false">IF(H24=0,"",G24/H24)</f>
        <v>7342.04</v>
      </c>
      <c r="J24" s="4" t="s">
        <v>166</v>
      </c>
    </row>
    <row r="25" customFormat="false" ht="15" hidden="false" customHeight="false" outlineLevel="0" collapsed="false">
      <c r="A25" s="4" t="s">
        <v>161</v>
      </c>
      <c r="B25" s="4" t="s">
        <v>167</v>
      </c>
      <c r="C25" s="4" t="s">
        <v>163</v>
      </c>
      <c r="D25" s="4" t="s">
        <v>150</v>
      </c>
      <c r="E25" s="4" t="s">
        <v>64</v>
      </c>
      <c r="F25" s="4" t="s">
        <v>23</v>
      </c>
      <c r="G25" s="6" t="n">
        <v>297770.5</v>
      </c>
      <c r="H25" s="4" t="n">
        <v>25</v>
      </c>
      <c r="I25" s="7" t="n">
        <f aca="false">IF(H25=0,"",G25/H25)</f>
        <v>11910.82</v>
      </c>
      <c r="J25" s="4"/>
    </row>
    <row r="26" customFormat="false" ht="15" hidden="false" customHeight="false" outlineLevel="0" collapsed="false">
      <c r="A26" s="4" t="s">
        <v>161</v>
      </c>
      <c r="B26" s="4" t="s">
        <v>168</v>
      </c>
      <c r="C26" s="4" t="s">
        <v>163</v>
      </c>
      <c r="D26" s="4" t="s">
        <v>150</v>
      </c>
      <c r="E26" s="4" t="s">
        <v>64</v>
      </c>
      <c r="F26" s="4" t="s">
        <v>23</v>
      </c>
      <c r="G26" s="6" t="n">
        <v>356903</v>
      </c>
      <c r="H26" s="4" t="n">
        <v>25</v>
      </c>
      <c r="I26" s="7" t="n">
        <f aca="false">IF(H26=0,"",G26/H26)</f>
        <v>14276.12</v>
      </c>
      <c r="J26" s="4"/>
    </row>
    <row r="27" customFormat="false" ht="15" hidden="false" customHeight="false" outlineLevel="0" collapsed="false">
      <c r="A27" s="4" t="s">
        <v>161</v>
      </c>
      <c r="B27" s="4" t="s">
        <v>169</v>
      </c>
      <c r="C27" s="4" t="s">
        <v>163</v>
      </c>
      <c r="D27" s="4" t="s">
        <v>150</v>
      </c>
      <c r="E27" s="4" t="s">
        <v>64</v>
      </c>
      <c r="F27" s="4" t="s">
        <v>23</v>
      </c>
      <c r="G27" s="6" t="n">
        <v>143685</v>
      </c>
      <c r="H27" s="4" t="n">
        <v>25</v>
      </c>
      <c r="I27" s="7" t="n">
        <f aca="false">IF(H27=0,"",G27/H27)</f>
        <v>5747.4</v>
      </c>
      <c r="J27" s="4" t="s">
        <v>170</v>
      </c>
    </row>
    <row r="28" customFormat="false" ht="15" hidden="false" customHeight="false" outlineLevel="0" collapsed="false">
      <c r="A28" s="4" t="s">
        <v>171</v>
      </c>
      <c r="B28" s="4" t="s">
        <v>172</v>
      </c>
      <c r="C28" s="4" t="s">
        <v>142</v>
      </c>
      <c r="D28" s="4" t="s">
        <v>173</v>
      </c>
      <c r="E28" s="4" t="s">
        <v>12</v>
      </c>
      <c r="F28" s="4" t="s">
        <v>14</v>
      </c>
      <c r="G28" s="6" t="n">
        <v>352.69</v>
      </c>
      <c r="H28" s="4" t="n">
        <v>1</v>
      </c>
      <c r="I28" s="7" t="n">
        <f aca="false">IF(H28=0,"",G28/H28)</f>
        <v>352.69</v>
      </c>
      <c r="J28" s="4"/>
    </row>
    <row r="29" customFormat="false" ht="15" hidden="false" customHeight="false" outlineLevel="0" collapsed="false">
      <c r="A29" s="4" t="s">
        <v>171</v>
      </c>
      <c r="B29" s="4" t="s">
        <v>174</v>
      </c>
      <c r="C29" s="4" t="s">
        <v>142</v>
      </c>
      <c r="D29" s="4" t="s">
        <v>173</v>
      </c>
      <c r="E29" s="4" t="s">
        <v>12</v>
      </c>
      <c r="F29" s="4" t="s">
        <v>14</v>
      </c>
      <c r="G29" s="6" t="n">
        <v>1128.61</v>
      </c>
      <c r="H29" s="4" t="n">
        <v>1</v>
      </c>
      <c r="I29" s="7" t="n">
        <f aca="false">IF(H29=0,"",G29/H29)</f>
        <v>1128.61</v>
      </c>
      <c r="J29" s="4"/>
    </row>
    <row r="30" customFormat="false" ht="15" hidden="false" customHeight="false" outlineLevel="0" collapsed="false">
      <c r="A30" s="4" t="s">
        <v>171</v>
      </c>
      <c r="B30" s="4" t="s">
        <v>175</v>
      </c>
      <c r="C30" s="4" t="s">
        <v>176</v>
      </c>
      <c r="D30" s="4" t="s">
        <v>150</v>
      </c>
      <c r="E30" s="4" t="s">
        <v>12</v>
      </c>
      <c r="F30" s="4" t="s">
        <v>14</v>
      </c>
      <c r="G30" s="6" t="n">
        <v>2475</v>
      </c>
      <c r="H30" s="4" t="n">
        <v>1</v>
      </c>
      <c r="I30" s="7" t="n">
        <f aca="false">IF(H30=0,"",G30/H30)</f>
        <v>2475</v>
      </c>
      <c r="J30" s="4"/>
    </row>
    <row r="31" customFormat="false" ht="15" hidden="false" customHeight="false" outlineLevel="0" collapsed="false">
      <c r="A31" s="4" t="s">
        <v>171</v>
      </c>
      <c r="B31" s="4" t="s">
        <v>177</v>
      </c>
      <c r="C31" s="4" t="s">
        <v>176</v>
      </c>
      <c r="D31" s="4" t="s">
        <v>150</v>
      </c>
      <c r="E31" s="4" t="s">
        <v>21</v>
      </c>
      <c r="F31" s="4" t="s">
        <v>23</v>
      </c>
      <c r="G31" s="6" t="n">
        <v>2292.1</v>
      </c>
      <c r="H31" s="4" t="n">
        <v>1</v>
      </c>
      <c r="I31" s="7" t="n">
        <f aca="false">IF(H31=0,"",G31/H31)</f>
        <v>2292.1</v>
      </c>
      <c r="J31" s="4"/>
    </row>
    <row r="32" customFormat="false" ht="15" hidden="false" customHeight="false" outlineLevel="0" collapsed="false">
      <c r="A32" s="4" t="s">
        <v>178</v>
      </c>
      <c r="B32" s="4" t="s">
        <v>179</v>
      </c>
      <c r="C32" s="4" t="s">
        <v>180</v>
      </c>
      <c r="D32" s="4" t="s">
        <v>181</v>
      </c>
      <c r="E32" s="4" t="s">
        <v>12</v>
      </c>
      <c r="F32" s="4" t="s">
        <v>14</v>
      </c>
      <c r="G32" s="6" t="n">
        <v>841.23</v>
      </c>
      <c r="H32" s="4" t="n">
        <v>1</v>
      </c>
      <c r="I32" s="7" t="n">
        <f aca="false">IF(H32=0,"",G32/H32)</f>
        <v>841.23</v>
      </c>
      <c r="J32" s="4" t="s">
        <v>182</v>
      </c>
    </row>
    <row r="33" customFormat="false" ht="15" hidden="false" customHeight="false" outlineLevel="0" collapsed="false">
      <c r="A33" s="4" t="s">
        <v>178</v>
      </c>
      <c r="B33" s="4" t="s">
        <v>179</v>
      </c>
      <c r="C33" s="4" t="s">
        <v>183</v>
      </c>
      <c r="D33" s="4" t="s">
        <v>181</v>
      </c>
      <c r="E33" s="4" t="s">
        <v>21</v>
      </c>
      <c r="F33" s="4" t="s">
        <v>23</v>
      </c>
      <c r="G33" s="6" t="n">
        <v>1678.56</v>
      </c>
      <c r="H33" s="4" t="n">
        <v>1</v>
      </c>
      <c r="I33" s="7" t="n">
        <f aca="false">IF(H33=0,"",G33/H33)</f>
        <v>1678.56</v>
      </c>
      <c r="J33" s="4" t="s">
        <v>184</v>
      </c>
    </row>
    <row r="34" customFormat="false" ht="15" hidden="false" customHeight="false" outlineLevel="0" collapsed="false">
      <c r="A34" s="4" t="s">
        <v>178</v>
      </c>
      <c r="B34" s="4" t="s">
        <v>185</v>
      </c>
      <c r="C34" s="4" t="s">
        <v>180</v>
      </c>
      <c r="D34" s="4" t="s">
        <v>181</v>
      </c>
      <c r="E34" s="4" t="s">
        <v>39</v>
      </c>
      <c r="F34" s="4" t="s">
        <v>186</v>
      </c>
      <c r="G34" s="6" t="n">
        <v>1906.35</v>
      </c>
      <c r="H34" s="4" t="n">
        <v>1</v>
      </c>
      <c r="I34" s="7" t="n">
        <f aca="false">IF(H34=0,"",G34/H34)</f>
        <v>1906.35</v>
      </c>
      <c r="J34" s="4" t="s">
        <v>187</v>
      </c>
    </row>
    <row r="35" customFormat="false" ht="15" hidden="false" customHeight="false" outlineLevel="0" collapsed="false">
      <c r="A35" s="4" t="s">
        <v>178</v>
      </c>
      <c r="B35" s="4" t="s">
        <v>188</v>
      </c>
      <c r="C35" s="4" t="s">
        <v>180</v>
      </c>
      <c r="D35" s="4" t="s">
        <v>181</v>
      </c>
      <c r="E35" s="4" t="s">
        <v>12</v>
      </c>
      <c r="F35" s="4" t="s">
        <v>14</v>
      </c>
      <c r="G35" s="6" t="n">
        <v>1638</v>
      </c>
      <c r="H35" s="4" t="n">
        <v>1</v>
      </c>
      <c r="I35" s="7" t="n">
        <f aca="false">IF(H35=0,"",G35/H35)</f>
        <v>1638</v>
      </c>
      <c r="J35" s="4"/>
    </row>
    <row r="36" customFormat="false" ht="15" hidden="false" customHeight="false" outlineLevel="0" collapsed="false">
      <c r="A36" s="4" t="s">
        <v>178</v>
      </c>
      <c r="B36" s="4" t="s">
        <v>188</v>
      </c>
      <c r="C36" s="4" t="s">
        <v>183</v>
      </c>
      <c r="D36" s="4" t="s">
        <v>181</v>
      </c>
      <c r="E36" s="4" t="s">
        <v>21</v>
      </c>
      <c r="F36" s="4" t="s">
        <v>23</v>
      </c>
      <c r="G36" s="6" t="n">
        <v>2332.62</v>
      </c>
      <c r="H36" s="4" t="n">
        <v>1</v>
      </c>
      <c r="I36" s="7" t="n">
        <f aca="false">IF(H36=0,"",G36/H36)</f>
        <v>2332.62</v>
      </c>
      <c r="J36" s="4" t="s">
        <v>189</v>
      </c>
    </row>
    <row r="37" customFormat="false" ht="15" hidden="false" customHeight="false" outlineLevel="0" collapsed="false">
      <c r="A37" s="4" t="s">
        <v>178</v>
      </c>
      <c r="B37" s="4" t="s">
        <v>190</v>
      </c>
      <c r="C37" s="4" t="s">
        <v>180</v>
      </c>
      <c r="D37" s="4" t="s">
        <v>181</v>
      </c>
      <c r="E37" s="4" t="s">
        <v>12</v>
      </c>
      <c r="F37" s="4" t="s">
        <v>14</v>
      </c>
      <c r="G37" s="6" t="n">
        <v>1100.97</v>
      </c>
      <c r="H37" s="4" t="n">
        <v>1</v>
      </c>
      <c r="I37" s="7" t="n">
        <f aca="false">IF(H37=0,"",G37/H37)</f>
        <v>1100.97</v>
      </c>
      <c r="J37" s="4"/>
    </row>
    <row r="38" customFormat="false" ht="15" hidden="false" customHeight="false" outlineLevel="0" collapsed="false">
      <c r="A38" s="4" t="s">
        <v>178</v>
      </c>
      <c r="B38" s="4" t="s">
        <v>190</v>
      </c>
      <c r="C38" s="4" t="s">
        <v>183</v>
      </c>
      <c r="D38" s="4" t="s">
        <v>181</v>
      </c>
      <c r="E38" s="4" t="s">
        <v>21</v>
      </c>
      <c r="F38" s="4" t="s">
        <v>23</v>
      </c>
      <c r="G38" s="6" t="n">
        <v>2106.88</v>
      </c>
      <c r="H38" s="4" t="n">
        <v>1</v>
      </c>
      <c r="I38" s="7" t="n">
        <f aca="false">IF(H38=0,"",G38/H38)</f>
        <v>2106.88</v>
      </c>
      <c r="J38" s="4" t="s">
        <v>191</v>
      </c>
    </row>
    <row r="39" customFormat="false" ht="15" hidden="false" customHeight="false" outlineLevel="0" collapsed="false">
      <c r="A39" s="4" t="s">
        <v>178</v>
      </c>
      <c r="B39" s="4" t="s">
        <v>192</v>
      </c>
      <c r="C39" s="4" t="s">
        <v>180</v>
      </c>
      <c r="D39" s="4" t="s">
        <v>181</v>
      </c>
      <c r="E39" s="4" t="s">
        <v>12</v>
      </c>
      <c r="F39" s="4" t="s">
        <v>14</v>
      </c>
      <c r="G39" s="6" t="n">
        <v>1989</v>
      </c>
      <c r="H39" s="4" t="n">
        <v>1</v>
      </c>
      <c r="I39" s="7" t="n">
        <f aca="false">IF(H39=0,"",G39/H39)</f>
        <v>1989</v>
      </c>
      <c r="J39" s="4"/>
    </row>
    <row r="40" customFormat="false" ht="15" hidden="false" customHeight="false" outlineLevel="0" collapsed="false">
      <c r="A40" s="4" t="s">
        <v>178</v>
      </c>
      <c r="B40" s="4" t="s">
        <v>192</v>
      </c>
      <c r="C40" s="4" t="s">
        <v>183</v>
      </c>
      <c r="D40" s="4" t="s">
        <v>181</v>
      </c>
      <c r="E40" s="4" t="s">
        <v>21</v>
      </c>
      <c r="F40" s="4" t="s">
        <v>23</v>
      </c>
      <c r="G40" s="6" t="n">
        <v>2934.58</v>
      </c>
      <c r="H40" s="4" t="n">
        <v>1</v>
      </c>
      <c r="I40" s="7" t="n">
        <f aca="false">IF(H40=0,"",G40/H40)</f>
        <v>2934.58</v>
      </c>
      <c r="J40" s="4" t="s">
        <v>193</v>
      </c>
    </row>
    <row r="41" customFormat="false" ht="15" hidden="false" customHeight="false" outlineLevel="0" collapsed="false">
      <c r="A41" s="4" t="s">
        <v>178</v>
      </c>
      <c r="B41" s="4" t="s">
        <v>194</v>
      </c>
      <c r="C41" s="4" t="s">
        <v>183</v>
      </c>
      <c r="D41" s="4" t="s">
        <v>181</v>
      </c>
      <c r="E41" s="4" t="s">
        <v>21</v>
      </c>
      <c r="F41" s="4" t="s">
        <v>23</v>
      </c>
      <c r="G41" s="6" t="n">
        <v>2407.86</v>
      </c>
      <c r="H41" s="4" t="n">
        <v>1</v>
      </c>
      <c r="I41" s="7" t="n">
        <f aca="false">IF(H41=0,"",G41/H41)</f>
        <v>2407.86</v>
      </c>
      <c r="J41" s="4" t="s">
        <v>195</v>
      </c>
    </row>
    <row r="42" customFormat="false" ht="15" hidden="false" customHeight="false" outlineLevel="0" collapsed="false">
      <c r="A42" s="4" t="s">
        <v>178</v>
      </c>
      <c r="B42" s="4" t="s">
        <v>196</v>
      </c>
      <c r="C42" s="4" t="s">
        <v>183</v>
      </c>
      <c r="D42" s="4" t="s">
        <v>181</v>
      </c>
      <c r="E42" s="4" t="s">
        <v>21</v>
      </c>
      <c r="F42" s="4" t="s">
        <v>23</v>
      </c>
      <c r="G42" s="6" t="n">
        <v>3461.3</v>
      </c>
      <c r="H42" s="4" t="n">
        <v>1</v>
      </c>
      <c r="I42" s="7" t="n">
        <f aca="false">IF(H42=0,"",G42/H42)</f>
        <v>3461.3</v>
      </c>
      <c r="J42" s="4" t="s">
        <v>197</v>
      </c>
    </row>
    <row r="43" customFormat="false" ht="15" hidden="false" customHeight="false" outlineLevel="0" collapsed="false">
      <c r="A43" s="4" t="s">
        <v>178</v>
      </c>
      <c r="B43" s="4" t="s">
        <v>198</v>
      </c>
      <c r="C43" s="4" t="s">
        <v>180</v>
      </c>
      <c r="D43" s="4" t="s">
        <v>181</v>
      </c>
      <c r="E43" s="4" t="s">
        <v>12</v>
      </c>
      <c r="F43" s="4" t="s">
        <v>14</v>
      </c>
      <c r="G43" s="6" t="n">
        <v>1532.7</v>
      </c>
      <c r="H43" s="4" t="n">
        <v>1</v>
      </c>
      <c r="I43" s="7" t="n">
        <f aca="false">IF(H43=0,"",G43/H43)</f>
        <v>1532.7</v>
      </c>
      <c r="J43" s="4"/>
    </row>
    <row r="44" customFormat="false" ht="15" hidden="false" customHeight="false" outlineLevel="0" collapsed="false">
      <c r="A44" s="4" t="s">
        <v>178</v>
      </c>
      <c r="B44" s="4" t="s">
        <v>198</v>
      </c>
      <c r="C44" s="4" t="s">
        <v>183</v>
      </c>
      <c r="D44" s="4" t="s">
        <v>181</v>
      </c>
      <c r="E44" s="4" t="s">
        <v>21</v>
      </c>
      <c r="F44" s="4" t="s">
        <v>23</v>
      </c>
      <c r="G44" s="6" t="n">
        <v>2784.09</v>
      </c>
      <c r="H44" s="4" t="n">
        <v>1</v>
      </c>
      <c r="I44" s="7" t="n">
        <f aca="false">IF(H44=0,"",G44/H44)</f>
        <v>2784.09</v>
      </c>
      <c r="J44" s="4" t="s">
        <v>199</v>
      </c>
    </row>
    <row r="45" customFormat="false" ht="15" hidden="false" customHeight="false" outlineLevel="0" collapsed="false">
      <c r="A45" s="4" t="s">
        <v>178</v>
      </c>
      <c r="B45" s="4" t="s">
        <v>200</v>
      </c>
      <c r="C45" s="4" t="s">
        <v>180</v>
      </c>
      <c r="D45" s="4" t="s">
        <v>181</v>
      </c>
      <c r="E45" s="4" t="s">
        <v>12</v>
      </c>
      <c r="F45" s="4" t="s">
        <v>14</v>
      </c>
      <c r="G45" s="6" t="n">
        <v>2880.54</v>
      </c>
      <c r="H45" s="4" t="n">
        <v>1</v>
      </c>
      <c r="I45" s="7" t="n">
        <f aca="false">IF(H45=0,"",G45/H45)</f>
        <v>2880.54</v>
      </c>
      <c r="J45" s="4"/>
    </row>
    <row r="46" customFormat="false" ht="15" hidden="false" customHeight="false" outlineLevel="0" collapsed="false">
      <c r="A46" s="4" t="s">
        <v>178</v>
      </c>
      <c r="B46" s="4" t="s">
        <v>200</v>
      </c>
      <c r="C46" s="4" t="s">
        <v>183</v>
      </c>
      <c r="D46" s="4" t="s">
        <v>181</v>
      </c>
      <c r="E46" s="4" t="s">
        <v>21</v>
      </c>
      <c r="F46" s="4" t="s">
        <v>23</v>
      </c>
      <c r="G46" s="6" t="n">
        <v>3912.77</v>
      </c>
      <c r="H46" s="4" t="n">
        <v>1</v>
      </c>
      <c r="I46" s="7" t="n">
        <f aca="false">IF(H46=0,"",G46/H46)</f>
        <v>3912.77</v>
      </c>
      <c r="J46" s="4" t="s">
        <v>201</v>
      </c>
    </row>
    <row r="47" customFormat="false" ht="15" hidden="false" customHeight="false" outlineLevel="0" collapsed="false">
      <c r="A47" s="4" t="s">
        <v>178</v>
      </c>
      <c r="B47" s="4" t="s">
        <v>202</v>
      </c>
      <c r="C47" s="4" t="s">
        <v>183</v>
      </c>
      <c r="D47" s="4" t="s">
        <v>181</v>
      </c>
      <c r="E47" s="4" t="s">
        <v>21</v>
      </c>
      <c r="F47" s="4" t="s">
        <v>23</v>
      </c>
      <c r="G47" s="6" t="n">
        <v>4289</v>
      </c>
      <c r="H47" s="4" t="n">
        <v>1</v>
      </c>
      <c r="I47" s="7" t="n">
        <f aca="false">IF(H47=0,"",G47/H47)</f>
        <v>4289</v>
      </c>
      <c r="J47" s="4" t="s">
        <v>203</v>
      </c>
    </row>
    <row r="48" customFormat="false" ht="15" hidden="false" customHeight="false" outlineLevel="0" collapsed="false">
      <c r="A48" s="4" t="s">
        <v>178</v>
      </c>
      <c r="B48" s="4" t="s">
        <v>204</v>
      </c>
      <c r="C48" s="4" t="s">
        <v>183</v>
      </c>
      <c r="D48" s="4" t="s">
        <v>181</v>
      </c>
      <c r="E48" s="4" t="s">
        <v>21</v>
      </c>
      <c r="F48" s="4" t="s">
        <v>23</v>
      </c>
      <c r="G48" s="6" t="n">
        <v>5688.57</v>
      </c>
      <c r="H48" s="4" t="n">
        <v>1</v>
      </c>
      <c r="I48" s="7" t="n">
        <f aca="false">IF(H48=0,"",G48/H48)</f>
        <v>5688.57</v>
      </c>
      <c r="J48" s="4" t="s">
        <v>205</v>
      </c>
    </row>
    <row r="49" customFormat="false" ht="15" hidden="false" customHeight="false" outlineLevel="0" collapsed="false">
      <c r="A49" s="4" t="s">
        <v>178</v>
      </c>
      <c r="B49" s="4" t="s">
        <v>206</v>
      </c>
      <c r="C49" s="4" t="s">
        <v>183</v>
      </c>
      <c r="D49" s="4" t="s">
        <v>181</v>
      </c>
      <c r="E49" s="4" t="s">
        <v>21</v>
      </c>
      <c r="F49" s="4" t="s">
        <v>23</v>
      </c>
      <c r="G49" s="6" t="n">
        <v>7976.04</v>
      </c>
      <c r="H49" s="4" t="n">
        <v>1</v>
      </c>
      <c r="I49" s="7" t="n">
        <f aca="false">IF(H49=0,"",G49/H49)</f>
        <v>7976.04</v>
      </c>
      <c r="J49" s="4" t="s">
        <v>207</v>
      </c>
    </row>
    <row r="50" customFormat="false" ht="15" hidden="false" customHeight="false" outlineLevel="0" collapsed="false">
      <c r="A50" s="4" t="s">
        <v>208</v>
      </c>
      <c r="B50" s="4" t="s">
        <v>209</v>
      </c>
      <c r="C50" s="4" t="s">
        <v>210</v>
      </c>
      <c r="D50" s="4" t="s">
        <v>150</v>
      </c>
      <c r="E50" s="4" t="s">
        <v>21</v>
      </c>
      <c r="F50" s="4" t="s">
        <v>23</v>
      </c>
      <c r="G50" s="6" t="n">
        <v>3102.44</v>
      </c>
      <c r="H50" s="4" t="n">
        <v>20</v>
      </c>
      <c r="I50" s="7" t="n">
        <f aca="false">IF(H50=0,"",G50/H50)</f>
        <v>155.122</v>
      </c>
      <c r="J50" s="4"/>
    </row>
    <row r="51" customFormat="false" ht="15" hidden="false" customHeight="false" outlineLevel="0" collapsed="false">
      <c r="A51" s="4" t="s">
        <v>208</v>
      </c>
      <c r="B51" s="4" t="s">
        <v>211</v>
      </c>
      <c r="C51" s="4" t="s">
        <v>210</v>
      </c>
      <c r="D51" s="4" t="s">
        <v>150</v>
      </c>
      <c r="E51" s="4" t="s">
        <v>21</v>
      </c>
      <c r="F51" s="4" t="s">
        <v>23</v>
      </c>
      <c r="G51" s="6" t="n">
        <v>4167.45</v>
      </c>
      <c r="H51" s="4" t="n">
        <v>20</v>
      </c>
      <c r="I51" s="7" t="n">
        <f aca="false">IF(H51=0,"",G51/H51)</f>
        <v>208.3725</v>
      </c>
      <c r="J51" s="4"/>
    </row>
    <row r="52" customFormat="false" ht="15" hidden="false" customHeight="false" outlineLevel="0" collapsed="false">
      <c r="A52" s="4" t="s">
        <v>208</v>
      </c>
      <c r="B52" s="4" t="s">
        <v>209</v>
      </c>
      <c r="C52" s="4" t="s">
        <v>212</v>
      </c>
      <c r="D52" s="4" t="s">
        <v>150</v>
      </c>
      <c r="E52" s="4" t="s">
        <v>21</v>
      </c>
      <c r="F52" s="4" t="s">
        <v>23</v>
      </c>
      <c r="G52" s="6" t="n">
        <v>9162.15</v>
      </c>
      <c r="H52" s="4" t="n">
        <v>20</v>
      </c>
      <c r="I52" s="7" t="n">
        <f aca="false">IF(H52=0,"",G52/H52)</f>
        <v>458.1075</v>
      </c>
      <c r="J52" s="4" t="s">
        <v>213</v>
      </c>
    </row>
    <row r="53" customFormat="false" ht="15" hidden="false" customHeight="false" outlineLevel="0" collapsed="false">
      <c r="A53" s="4" t="s">
        <v>208</v>
      </c>
      <c r="B53" s="4" t="s">
        <v>211</v>
      </c>
      <c r="C53" s="4" t="s">
        <v>212</v>
      </c>
      <c r="D53" s="4" t="s">
        <v>150</v>
      </c>
      <c r="E53" s="4" t="s">
        <v>21</v>
      </c>
      <c r="F53" s="4" t="s">
        <v>23</v>
      </c>
      <c r="G53" s="6" t="n">
        <v>11526.85</v>
      </c>
      <c r="H53" s="4" t="n">
        <v>20</v>
      </c>
      <c r="I53" s="7" t="n">
        <f aca="false">IF(H53=0,"",G53/H53)</f>
        <v>576.3425</v>
      </c>
      <c r="J53" s="4" t="s">
        <v>213</v>
      </c>
    </row>
    <row r="54" customFormat="false" ht="15" hidden="false" customHeight="false" outlineLevel="0" collapsed="false">
      <c r="A54" s="4" t="s">
        <v>208</v>
      </c>
      <c r="B54" s="4" t="s">
        <v>214</v>
      </c>
      <c r="C54" s="4" t="s">
        <v>215</v>
      </c>
      <c r="D54" s="4" t="s">
        <v>150</v>
      </c>
      <c r="E54" s="4" t="s">
        <v>21</v>
      </c>
      <c r="F54" s="4" t="s">
        <v>23</v>
      </c>
      <c r="G54" s="6" t="n">
        <v>6325.13</v>
      </c>
      <c r="H54" s="4" t="n">
        <v>20</v>
      </c>
      <c r="I54" s="7" t="n">
        <f aca="false">IF(H54=0,"",G54/H54)</f>
        <v>316.2565</v>
      </c>
      <c r="J54" s="4"/>
    </row>
    <row r="55" customFormat="false" ht="15" hidden="false" customHeight="false" outlineLevel="0" collapsed="false">
      <c r="A55" s="4" t="s">
        <v>208</v>
      </c>
      <c r="B55" s="4" t="s">
        <v>216</v>
      </c>
      <c r="C55" s="4" t="s">
        <v>215</v>
      </c>
      <c r="D55" s="4" t="s">
        <v>150</v>
      </c>
      <c r="E55" s="4" t="s">
        <v>21</v>
      </c>
      <c r="F55" s="4" t="s">
        <v>23</v>
      </c>
      <c r="G55" s="6" t="n">
        <v>9162.15</v>
      </c>
      <c r="H55" s="4" t="n">
        <v>20</v>
      </c>
      <c r="I55" s="7" t="n">
        <f aca="false">IF(H55=0,"",G55/H55)</f>
        <v>458.1075</v>
      </c>
      <c r="J55" s="4"/>
    </row>
    <row r="56" customFormat="false" ht="15" hidden="false" customHeight="false" outlineLevel="0" collapsed="false">
      <c r="A56" s="4" t="s">
        <v>208</v>
      </c>
      <c r="B56" s="4" t="s">
        <v>217</v>
      </c>
      <c r="C56" s="4" t="s">
        <v>218</v>
      </c>
      <c r="D56" s="4" t="s">
        <v>150</v>
      </c>
      <c r="E56" s="4" t="s">
        <v>21</v>
      </c>
      <c r="F56" s="4" t="s">
        <v>23</v>
      </c>
      <c r="G56" s="6" t="n">
        <v>19320</v>
      </c>
      <c r="H56" s="4" t="n">
        <v>50</v>
      </c>
      <c r="I56" s="7" t="n">
        <f aca="false">IF(H56=0,"",G56/H56)</f>
        <v>386.4</v>
      </c>
      <c r="J56" s="4"/>
    </row>
    <row r="57" customFormat="false" ht="15" hidden="false" customHeight="false" outlineLevel="0" collapsed="false">
      <c r="A57" s="4" t="s">
        <v>208</v>
      </c>
      <c r="B57" s="4" t="s">
        <v>219</v>
      </c>
      <c r="C57" s="4" t="s">
        <v>220</v>
      </c>
      <c r="D57" s="4" t="s">
        <v>221</v>
      </c>
      <c r="E57" s="4" t="s">
        <v>48</v>
      </c>
      <c r="F57" s="4" t="s">
        <v>32</v>
      </c>
      <c r="G57" s="6" t="n">
        <v>3990</v>
      </c>
      <c r="H57" s="4" t="n">
        <v>1</v>
      </c>
      <c r="I57" s="7" t="n">
        <f aca="false">IF(H57=0,"",G57/H57)</f>
        <v>3990</v>
      </c>
      <c r="J57" s="4" t="s">
        <v>222</v>
      </c>
    </row>
    <row r="58" customFormat="false" ht="15" hidden="false" customHeight="false" outlineLevel="0" collapsed="false">
      <c r="A58" s="4" t="s">
        <v>208</v>
      </c>
      <c r="B58" s="4" t="s">
        <v>223</v>
      </c>
      <c r="C58" s="4" t="s">
        <v>220</v>
      </c>
      <c r="D58" s="4" t="s">
        <v>221</v>
      </c>
      <c r="E58" s="4" t="s">
        <v>12</v>
      </c>
      <c r="F58" s="4" t="s">
        <v>14</v>
      </c>
      <c r="G58" s="6" t="n">
        <v>2164.5</v>
      </c>
      <c r="H58" s="4" t="n">
        <v>1</v>
      </c>
      <c r="I58" s="7" t="n">
        <f aca="false">IF(H58=0,"",G58/H58)</f>
        <v>2164.5</v>
      </c>
      <c r="J58" s="4"/>
    </row>
    <row r="59" customFormat="false" ht="15" hidden="false" customHeight="false" outlineLevel="0" collapsed="false">
      <c r="A59" s="4" t="s">
        <v>208</v>
      </c>
      <c r="B59" s="4" t="s">
        <v>224</v>
      </c>
      <c r="C59" s="4" t="s">
        <v>225</v>
      </c>
      <c r="D59" s="4" t="s">
        <v>150</v>
      </c>
      <c r="E59" s="4" t="s">
        <v>48</v>
      </c>
      <c r="F59" s="4" t="s">
        <v>32</v>
      </c>
      <c r="G59" s="6" t="n">
        <v>2190</v>
      </c>
      <c r="H59" s="4" t="n">
        <v>10</v>
      </c>
      <c r="I59" s="7" t="n">
        <f aca="false">IF(H59=0,"",G59/H59)</f>
        <v>219</v>
      </c>
      <c r="J59" s="4"/>
    </row>
    <row r="60" customFormat="false" ht="15" hidden="false" customHeight="false" outlineLevel="0" collapsed="false">
      <c r="A60" s="4" t="s">
        <v>226</v>
      </c>
      <c r="B60" s="4" t="s">
        <v>227</v>
      </c>
      <c r="C60" s="4" t="s">
        <v>176</v>
      </c>
      <c r="D60" s="4" t="s">
        <v>150</v>
      </c>
      <c r="E60" s="4" t="s">
        <v>21</v>
      </c>
      <c r="F60" s="4" t="s">
        <v>23</v>
      </c>
      <c r="G60" s="6" t="n">
        <v>2546.78</v>
      </c>
      <c r="H60" s="4" t="n">
        <v>1</v>
      </c>
      <c r="I60" s="7" t="n">
        <f aca="false">IF(H60=0,"",G60/H60)</f>
        <v>2546.78</v>
      </c>
      <c r="J60" s="4"/>
    </row>
    <row r="61" customFormat="false" ht="15" hidden="false" customHeight="false" outlineLevel="0" collapsed="false">
      <c r="A61" s="4" t="s">
        <v>226</v>
      </c>
      <c r="B61" s="4" t="s">
        <v>227</v>
      </c>
      <c r="C61" s="4" t="s">
        <v>228</v>
      </c>
      <c r="D61" s="4" t="s">
        <v>150</v>
      </c>
      <c r="E61" s="4" t="s">
        <v>21</v>
      </c>
      <c r="F61" s="4" t="s">
        <v>23</v>
      </c>
      <c r="G61" s="6" t="n">
        <v>214392.15</v>
      </c>
      <c r="H61" s="4" t="n">
        <v>100</v>
      </c>
      <c r="I61" s="7" t="n">
        <f aca="false">IF(H61=0,"",G61/H61)</f>
        <v>2143.9215</v>
      </c>
      <c r="J61" s="4" t="s">
        <v>229</v>
      </c>
    </row>
    <row r="62" customFormat="false" ht="15" hidden="false" customHeight="false" outlineLevel="0" collapsed="false">
      <c r="A62" s="4" t="s">
        <v>226</v>
      </c>
      <c r="B62" s="4" t="s">
        <v>230</v>
      </c>
      <c r="C62" s="4" t="s">
        <v>176</v>
      </c>
      <c r="D62" s="4" t="s">
        <v>150</v>
      </c>
      <c r="E62" s="4" t="s">
        <v>21</v>
      </c>
      <c r="F62" s="4" t="s">
        <v>23</v>
      </c>
      <c r="G62" s="6" t="n">
        <v>3843.32</v>
      </c>
      <c r="H62" s="4" t="n">
        <v>1</v>
      </c>
      <c r="I62" s="7" t="n">
        <f aca="false">IF(H62=0,"",G62/H62)</f>
        <v>3843.32</v>
      </c>
      <c r="J62" s="4"/>
    </row>
    <row r="63" customFormat="false" ht="15" hidden="false" customHeight="false" outlineLevel="0" collapsed="false">
      <c r="A63" s="4" t="s">
        <v>226</v>
      </c>
      <c r="B63" s="4" t="s">
        <v>230</v>
      </c>
      <c r="C63" s="4" t="s">
        <v>228</v>
      </c>
      <c r="D63" s="4" t="s">
        <v>150</v>
      </c>
      <c r="E63" s="4" t="s">
        <v>21</v>
      </c>
      <c r="F63" s="4" t="s">
        <v>23</v>
      </c>
      <c r="G63" s="6" t="n">
        <v>347055.98</v>
      </c>
      <c r="H63" s="4" t="n">
        <v>100</v>
      </c>
      <c r="I63" s="7" t="n">
        <f aca="false">IF(H63=0,"",G63/H63)</f>
        <v>3470.5598</v>
      </c>
      <c r="J63" s="4"/>
    </row>
    <row r="64" customFormat="false" ht="15" hidden="false" customHeight="false" outlineLevel="0" collapsed="false">
      <c r="A64" s="4" t="s">
        <v>226</v>
      </c>
      <c r="B64" s="4" t="s">
        <v>231</v>
      </c>
      <c r="C64" s="4" t="s">
        <v>176</v>
      </c>
      <c r="D64" s="4" t="s">
        <v>150</v>
      </c>
      <c r="E64" s="4" t="s">
        <v>12</v>
      </c>
      <c r="F64" s="4" t="s">
        <v>14</v>
      </c>
      <c r="G64" s="6" t="n">
        <v>2560.82</v>
      </c>
      <c r="H64" s="4" t="n">
        <v>1</v>
      </c>
      <c r="I64" s="7" t="n">
        <f aca="false">IF(H64=0,"",G64/H64)</f>
        <v>2560.82</v>
      </c>
      <c r="J64" s="4"/>
    </row>
    <row r="65" customFormat="false" ht="15" hidden="false" customHeight="false" outlineLevel="0" collapsed="false">
      <c r="A65" s="4" t="s">
        <v>226</v>
      </c>
      <c r="B65" s="4" t="s">
        <v>231</v>
      </c>
      <c r="C65" s="4" t="s">
        <v>176</v>
      </c>
      <c r="D65" s="4" t="s">
        <v>150</v>
      </c>
      <c r="E65" s="4" t="s">
        <v>21</v>
      </c>
      <c r="F65" s="4" t="s">
        <v>23</v>
      </c>
      <c r="G65" s="6" t="n">
        <v>3762.29</v>
      </c>
      <c r="H65" s="4" t="n">
        <v>1</v>
      </c>
      <c r="I65" s="7" t="n">
        <f aca="false">IF(H65=0,"",G65/H65)</f>
        <v>3762.29</v>
      </c>
      <c r="J65" s="4"/>
    </row>
    <row r="66" customFormat="false" ht="15" hidden="false" customHeight="false" outlineLevel="0" collapsed="false">
      <c r="A66" s="4" t="s">
        <v>226</v>
      </c>
      <c r="B66" s="4" t="s">
        <v>231</v>
      </c>
      <c r="C66" s="4" t="s">
        <v>176</v>
      </c>
      <c r="D66" s="4" t="s">
        <v>150</v>
      </c>
      <c r="E66" s="4" t="s">
        <v>48</v>
      </c>
      <c r="F66" s="4" t="s">
        <v>32</v>
      </c>
      <c r="G66" s="6" t="n">
        <v>4090</v>
      </c>
      <c r="H66" s="4" t="n">
        <v>1</v>
      </c>
      <c r="I66" s="7" t="n">
        <f aca="false">IF(H66=0,"",G66/H66)</f>
        <v>4090</v>
      </c>
      <c r="J66" s="4"/>
    </row>
    <row r="67" customFormat="false" ht="15" hidden="false" customHeight="false" outlineLevel="0" collapsed="false">
      <c r="A67" s="4" t="s">
        <v>226</v>
      </c>
      <c r="B67" s="4" t="s">
        <v>231</v>
      </c>
      <c r="C67" s="4" t="s">
        <v>228</v>
      </c>
      <c r="D67" s="4" t="s">
        <v>150</v>
      </c>
      <c r="E67" s="4" t="s">
        <v>21</v>
      </c>
      <c r="F67" s="4" t="s">
        <v>23</v>
      </c>
      <c r="G67" s="6" t="n">
        <v>345319.54</v>
      </c>
      <c r="H67" s="4" t="n">
        <v>100</v>
      </c>
      <c r="I67" s="7" t="n">
        <f aca="false">IF(H67=0,"",G67/H67)</f>
        <v>3453.1954</v>
      </c>
      <c r="J67" s="4"/>
    </row>
    <row r="68" customFormat="false" ht="15" hidden="false" customHeight="false" outlineLevel="0" collapsed="false">
      <c r="A68" s="4" t="s">
        <v>226</v>
      </c>
      <c r="B68" s="4" t="s">
        <v>232</v>
      </c>
      <c r="C68" s="4" t="s">
        <v>176</v>
      </c>
      <c r="D68" s="4" t="s">
        <v>150</v>
      </c>
      <c r="E68" s="4" t="s">
        <v>12</v>
      </c>
      <c r="F68" s="4" t="s">
        <v>14</v>
      </c>
      <c r="G68" s="6" t="n">
        <v>3581.92</v>
      </c>
      <c r="H68" s="4" t="n">
        <v>1</v>
      </c>
      <c r="I68" s="7" t="n">
        <f aca="false">IF(H68=0,"",G68/H68)</f>
        <v>3581.92</v>
      </c>
      <c r="J68" s="4"/>
    </row>
    <row r="69" customFormat="false" ht="15" hidden="false" customHeight="false" outlineLevel="0" collapsed="false">
      <c r="A69" s="4" t="s">
        <v>226</v>
      </c>
      <c r="B69" s="4" t="s">
        <v>232</v>
      </c>
      <c r="C69" s="4" t="s">
        <v>228</v>
      </c>
      <c r="D69" s="4" t="s">
        <v>150</v>
      </c>
      <c r="E69" s="4" t="s">
        <v>21</v>
      </c>
      <c r="F69" s="4" t="s">
        <v>23</v>
      </c>
      <c r="G69" s="6" t="n">
        <v>590157.23</v>
      </c>
      <c r="H69" s="4" t="n">
        <v>100</v>
      </c>
      <c r="I69" s="7" t="n">
        <f aca="false">IF(H69=0,"",G69/H69)</f>
        <v>5901.5723</v>
      </c>
      <c r="J69" s="4"/>
    </row>
    <row r="70" customFormat="false" ht="15" hidden="false" customHeight="false" outlineLevel="0" collapsed="false">
      <c r="A70" s="4" t="s">
        <v>226</v>
      </c>
      <c r="B70" s="4" t="s">
        <v>233</v>
      </c>
      <c r="C70" s="4" t="s">
        <v>176</v>
      </c>
      <c r="D70" s="4" t="s">
        <v>150</v>
      </c>
      <c r="E70" s="4" t="s">
        <v>21</v>
      </c>
      <c r="F70" s="4" t="s">
        <v>23</v>
      </c>
      <c r="G70" s="6" t="n">
        <v>1389.15</v>
      </c>
      <c r="H70" s="4" t="n">
        <v>1</v>
      </c>
      <c r="I70" s="7" t="n">
        <f aca="false">IF(H70=0,"",G70/H70)</f>
        <v>1389.15</v>
      </c>
      <c r="J70" s="4"/>
    </row>
    <row r="71" customFormat="false" ht="15" hidden="false" customHeight="false" outlineLevel="0" collapsed="false">
      <c r="A71" s="4" t="s">
        <v>226</v>
      </c>
      <c r="B71" s="4" t="s">
        <v>234</v>
      </c>
      <c r="C71" s="4" t="s">
        <v>176</v>
      </c>
      <c r="D71" s="4" t="s">
        <v>150</v>
      </c>
      <c r="E71" s="4" t="s">
        <v>21</v>
      </c>
      <c r="F71" s="4" t="s">
        <v>23</v>
      </c>
      <c r="G71" s="6" t="n">
        <v>5267.2</v>
      </c>
      <c r="H71" s="4" t="n">
        <v>1</v>
      </c>
      <c r="I71" s="7" t="n">
        <f aca="false">IF(H71=0,"",G71/H71)</f>
        <v>5267.2</v>
      </c>
      <c r="J71" s="4"/>
    </row>
    <row r="72" customFormat="false" ht="15" hidden="false" customHeight="false" outlineLevel="0" collapsed="false">
      <c r="A72" s="4" t="s">
        <v>235</v>
      </c>
      <c r="B72" s="4" t="s">
        <v>236</v>
      </c>
      <c r="C72" s="4" t="s">
        <v>142</v>
      </c>
      <c r="D72" s="4" t="s">
        <v>173</v>
      </c>
      <c r="E72" s="4" t="s">
        <v>72</v>
      </c>
      <c r="F72" s="4" t="s">
        <v>74</v>
      </c>
      <c r="G72" s="6" t="n">
        <v>14175</v>
      </c>
      <c r="H72" s="4" t="n">
        <v>1</v>
      </c>
      <c r="I72" s="7" t="n">
        <f aca="false">IF(H72=0,"",G72/H72)</f>
        <v>14175</v>
      </c>
      <c r="J72" s="4"/>
    </row>
    <row r="73" customFormat="false" ht="15" hidden="false" customHeight="false" outlineLevel="0" collapsed="false">
      <c r="A73" s="4" t="s">
        <v>235</v>
      </c>
      <c r="B73" s="4" t="s">
        <v>237</v>
      </c>
      <c r="C73" s="4" t="s">
        <v>142</v>
      </c>
      <c r="D73" s="4" t="s">
        <v>173</v>
      </c>
      <c r="E73" s="4" t="s">
        <v>12</v>
      </c>
      <c r="F73" s="4" t="s">
        <v>14</v>
      </c>
      <c r="G73" s="6" t="n">
        <v>8143.2</v>
      </c>
      <c r="H73" s="4" t="n">
        <v>1</v>
      </c>
      <c r="I73" s="7" t="n">
        <f aca="false">IF(H73=0,"",G73/H73)</f>
        <v>8143.2</v>
      </c>
      <c r="J73" s="4" t="s">
        <v>238</v>
      </c>
    </row>
    <row r="74" customFormat="false" ht="15" hidden="false" customHeight="false" outlineLevel="0" collapsed="false">
      <c r="A74" s="4" t="s">
        <v>235</v>
      </c>
      <c r="B74" s="4" t="s">
        <v>239</v>
      </c>
      <c r="C74" s="4" t="s">
        <v>142</v>
      </c>
      <c r="D74" s="4" t="s">
        <v>173</v>
      </c>
      <c r="E74" s="4" t="s">
        <v>48</v>
      </c>
      <c r="F74" s="4" t="s">
        <v>32</v>
      </c>
      <c r="G74" s="6" t="n">
        <v>13790</v>
      </c>
      <c r="H74" s="4" t="n">
        <v>1</v>
      </c>
      <c r="I74" s="7" t="n">
        <f aca="false">IF(H74=0,"",G74/H74)</f>
        <v>13790</v>
      </c>
      <c r="J74" s="4" t="s">
        <v>240</v>
      </c>
    </row>
    <row r="75" customFormat="false" ht="23.85" hidden="false" customHeight="false" outlineLevel="0" collapsed="false">
      <c r="A75" s="4" t="s">
        <v>235</v>
      </c>
      <c r="B75" s="4" t="s">
        <v>241</v>
      </c>
      <c r="C75" s="4" t="s">
        <v>242</v>
      </c>
      <c r="D75" s="4" t="s">
        <v>243</v>
      </c>
      <c r="E75" s="4" t="s">
        <v>48</v>
      </c>
      <c r="F75" s="4" t="s">
        <v>32</v>
      </c>
      <c r="G75" s="6" t="n">
        <v>21490</v>
      </c>
      <c r="H75" s="4" t="n">
        <v>1</v>
      </c>
      <c r="I75" s="7" t="n">
        <f aca="false">IF(H75=0,"",G75/H75)</f>
        <v>21490</v>
      </c>
      <c r="J75" s="4" t="s">
        <v>244</v>
      </c>
    </row>
    <row r="76" customFormat="false" ht="15" hidden="false" customHeight="false" outlineLevel="0" collapsed="false">
      <c r="A76" s="4" t="s">
        <v>235</v>
      </c>
      <c r="B76" s="4" t="s">
        <v>245</v>
      </c>
      <c r="C76" s="4" t="s">
        <v>142</v>
      </c>
      <c r="D76" s="4" t="s">
        <v>173</v>
      </c>
      <c r="E76" s="4" t="s">
        <v>48</v>
      </c>
      <c r="F76" s="4" t="s">
        <v>32</v>
      </c>
      <c r="G76" s="6" t="n">
        <v>16090</v>
      </c>
      <c r="H76" s="4" t="n">
        <v>1</v>
      </c>
      <c r="I76" s="7" t="n">
        <f aca="false">IF(H76=0,"",G76/H76)</f>
        <v>16090</v>
      </c>
      <c r="J76" s="4"/>
    </row>
    <row r="77" customFormat="false" ht="15" hidden="false" customHeight="false" outlineLevel="0" collapsed="false">
      <c r="A77" s="4" t="s">
        <v>235</v>
      </c>
      <c r="B77" s="4" t="s">
        <v>246</v>
      </c>
      <c r="C77" s="4" t="s">
        <v>242</v>
      </c>
      <c r="D77" s="4" t="s">
        <v>243</v>
      </c>
      <c r="E77" s="4" t="s">
        <v>48</v>
      </c>
      <c r="F77" s="4" t="s">
        <v>32</v>
      </c>
      <c r="G77" s="6" t="n">
        <v>23090</v>
      </c>
      <c r="H77" s="4" t="n">
        <v>1</v>
      </c>
      <c r="I77" s="7" t="n">
        <f aca="false">IF(H77=0,"",G77/H77)</f>
        <v>23090</v>
      </c>
      <c r="J77" s="4" t="s">
        <v>247</v>
      </c>
    </row>
    <row r="78" customFormat="false" ht="15" hidden="false" customHeight="false" outlineLevel="0" collapsed="false">
      <c r="A78" s="4" t="s">
        <v>235</v>
      </c>
      <c r="B78" s="4" t="s">
        <v>248</v>
      </c>
      <c r="C78" s="4" t="s">
        <v>242</v>
      </c>
      <c r="D78" s="4" t="s">
        <v>243</v>
      </c>
      <c r="E78" s="4" t="s">
        <v>249</v>
      </c>
      <c r="F78" s="4" t="s">
        <v>250</v>
      </c>
      <c r="G78" s="6" t="n">
        <v>17952.02</v>
      </c>
      <c r="H78" s="4" t="n">
        <v>1</v>
      </c>
      <c r="I78" s="7" t="n">
        <f aca="false">IF(H78=0,"",G78/H78)</f>
        <v>17952.02</v>
      </c>
      <c r="J78" s="4" t="s">
        <v>251</v>
      </c>
    </row>
    <row r="79" customFormat="false" ht="15" hidden="false" customHeight="false" outlineLevel="0" collapsed="false">
      <c r="A79" s="4" t="s">
        <v>252</v>
      </c>
      <c r="B79" s="4" t="s">
        <v>253</v>
      </c>
      <c r="C79" s="4" t="s">
        <v>176</v>
      </c>
      <c r="D79" s="4" t="s">
        <v>150</v>
      </c>
      <c r="E79" s="4" t="s">
        <v>21</v>
      </c>
      <c r="F79" s="4" t="s">
        <v>23</v>
      </c>
      <c r="G79" s="6" t="n">
        <v>598.5</v>
      </c>
      <c r="H79" s="4" t="n">
        <v>1</v>
      </c>
      <c r="I79" s="7" t="n">
        <f aca="false">IF(H79=0,"",G79/H79)</f>
        <v>598.5</v>
      </c>
      <c r="J79" s="4"/>
    </row>
    <row r="80" customFormat="false" ht="15" hidden="false" customHeight="false" outlineLevel="0" collapsed="false">
      <c r="A80" s="4" t="s">
        <v>252</v>
      </c>
      <c r="B80" s="4" t="s">
        <v>253</v>
      </c>
      <c r="C80" s="4" t="s">
        <v>218</v>
      </c>
      <c r="D80" s="4" t="s">
        <v>150</v>
      </c>
      <c r="E80" s="4" t="s">
        <v>21</v>
      </c>
      <c r="F80" s="4" t="s">
        <v>23</v>
      </c>
      <c r="G80" s="6" t="n">
        <v>26880</v>
      </c>
      <c r="H80" s="4" t="n">
        <v>50</v>
      </c>
      <c r="I80" s="7" t="n">
        <f aca="false">IF(H80=0,"",G80/H80)</f>
        <v>537.6</v>
      </c>
      <c r="J80" s="4"/>
    </row>
    <row r="81" customFormat="false" ht="15" hidden="false" customHeight="false" outlineLevel="0" collapsed="false">
      <c r="A81" s="4" t="s">
        <v>252</v>
      </c>
      <c r="B81" s="4" t="s">
        <v>254</v>
      </c>
      <c r="C81" s="4" t="s">
        <v>176</v>
      </c>
      <c r="D81" s="4" t="s">
        <v>150</v>
      </c>
      <c r="E81" s="4" t="s">
        <v>21</v>
      </c>
      <c r="F81" s="4" t="s">
        <v>23</v>
      </c>
      <c r="G81" s="6" t="n">
        <v>1039.5</v>
      </c>
      <c r="H81" s="4" t="n">
        <v>1</v>
      </c>
      <c r="I81" s="7" t="n">
        <f aca="false">IF(H81=0,"",G81/H81)</f>
        <v>1039.5</v>
      </c>
      <c r="J81" s="4"/>
    </row>
    <row r="82" customFormat="false" ht="15" hidden="false" customHeight="false" outlineLevel="0" collapsed="false">
      <c r="A82" s="4" t="s">
        <v>252</v>
      </c>
      <c r="B82" s="4" t="s">
        <v>255</v>
      </c>
      <c r="C82" s="4" t="s">
        <v>176</v>
      </c>
      <c r="D82" s="4" t="s">
        <v>150</v>
      </c>
      <c r="E82" s="4" t="s">
        <v>21</v>
      </c>
      <c r="F82" s="4" t="s">
        <v>23</v>
      </c>
      <c r="G82" s="6" t="n">
        <v>1344</v>
      </c>
      <c r="H82" s="4" t="n">
        <v>1</v>
      </c>
      <c r="I82" s="7" t="n">
        <f aca="false">IF(H82=0,"",G82/H82)</f>
        <v>1344</v>
      </c>
      <c r="J82" s="4"/>
    </row>
    <row r="83" customFormat="false" ht="15" hidden="false" customHeight="false" outlineLevel="0" collapsed="false">
      <c r="A83" s="4" t="s">
        <v>252</v>
      </c>
      <c r="B83" s="4" t="s">
        <v>255</v>
      </c>
      <c r="C83" s="4" t="s">
        <v>176</v>
      </c>
      <c r="D83" s="4" t="s">
        <v>150</v>
      </c>
      <c r="E83" s="4" t="s">
        <v>48</v>
      </c>
      <c r="F83" s="4" t="s">
        <v>32</v>
      </c>
      <c r="G83" s="6" t="n">
        <v>1790</v>
      </c>
      <c r="H83" s="4" t="n">
        <v>1</v>
      </c>
      <c r="I83" s="7" t="n">
        <f aca="false">IF(H83=0,"",G83/H83)</f>
        <v>1790</v>
      </c>
      <c r="J83" s="4"/>
    </row>
    <row r="84" customFormat="false" ht="15" hidden="false" customHeight="false" outlineLevel="0" collapsed="false">
      <c r="A84" s="4" t="s">
        <v>252</v>
      </c>
      <c r="B84" s="4" t="s">
        <v>255</v>
      </c>
      <c r="C84" s="4" t="s">
        <v>256</v>
      </c>
      <c r="D84" s="4" t="s">
        <v>150</v>
      </c>
      <c r="E84" s="4" t="s">
        <v>21</v>
      </c>
      <c r="F84" s="4" t="s">
        <v>23</v>
      </c>
      <c r="G84" s="6" t="n">
        <v>32760</v>
      </c>
      <c r="H84" s="4" t="n">
        <v>25</v>
      </c>
      <c r="I84" s="7" t="n">
        <f aca="false">IF(H84=0,"",G84/H84)</f>
        <v>1310.4</v>
      </c>
      <c r="J84" s="4"/>
    </row>
    <row r="85" customFormat="false" ht="15" hidden="false" customHeight="false" outlineLevel="0" collapsed="false">
      <c r="A85" s="4" t="s">
        <v>252</v>
      </c>
      <c r="B85" s="4" t="s">
        <v>257</v>
      </c>
      <c r="C85" s="4" t="s">
        <v>176</v>
      </c>
      <c r="D85" s="4" t="s">
        <v>150</v>
      </c>
      <c r="E85" s="4" t="s">
        <v>21</v>
      </c>
      <c r="F85" s="4" t="s">
        <v>23</v>
      </c>
      <c r="G85" s="6" t="n">
        <v>2362.5</v>
      </c>
      <c r="H85" s="4" t="n">
        <v>1</v>
      </c>
      <c r="I85" s="7" t="n">
        <f aca="false">IF(H85=0,"",G85/H85)</f>
        <v>2362.5</v>
      </c>
      <c r="J85" s="4"/>
    </row>
    <row r="86" customFormat="false" ht="15" hidden="false" customHeight="false" outlineLevel="0" collapsed="false">
      <c r="A86" s="4" t="s">
        <v>252</v>
      </c>
      <c r="B86" s="4" t="s">
        <v>257</v>
      </c>
      <c r="C86" s="4" t="s">
        <v>256</v>
      </c>
      <c r="D86" s="4" t="s">
        <v>150</v>
      </c>
      <c r="E86" s="4" t="s">
        <v>21</v>
      </c>
      <c r="F86" s="4" t="s">
        <v>23</v>
      </c>
      <c r="G86" s="6" t="n">
        <v>53482.28</v>
      </c>
      <c r="H86" s="4" t="n">
        <v>25</v>
      </c>
      <c r="I86" s="7" t="n">
        <f aca="false">IF(H86=0,"",G86/H86)</f>
        <v>2139.2912</v>
      </c>
      <c r="J86" s="4"/>
    </row>
    <row r="87" customFormat="false" ht="15" hidden="false" customHeight="false" outlineLevel="0" collapsed="false">
      <c r="A87" s="4" t="s">
        <v>252</v>
      </c>
      <c r="B87" s="4" t="s">
        <v>258</v>
      </c>
      <c r="C87" s="4" t="s">
        <v>259</v>
      </c>
      <c r="D87" s="4" t="s">
        <v>173</v>
      </c>
      <c r="E87" s="4" t="s">
        <v>12</v>
      </c>
      <c r="F87" s="4" t="s">
        <v>14</v>
      </c>
      <c r="G87" s="6" t="n">
        <v>297</v>
      </c>
      <c r="H87" s="4" t="n">
        <v>1</v>
      </c>
      <c r="I87" s="7" t="n">
        <f aca="false">IF(H87=0,"",G87/H87)</f>
        <v>297</v>
      </c>
      <c r="J87" s="4"/>
    </row>
    <row r="88" customFormat="false" ht="15" hidden="false" customHeight="false" outlineLevel="0" collapsed="false">
      <c r="A88" s="4" t="s">
        <v>260</v>
      </c>
      <c r="B88" s="4" t="s">
        <v>261</v>
      </c>
      <c r="C88" s="4" t="s">
        <v>262</v>
      </c>
      <c r="D88" s="4" t="s">
        <v>173</v>
      </c>
      <c r="E88" s="4" t="s">
        <v>12</v>
      </c>
      <c r="F88" s="4" t="s">
        <v>14</v>
      </c>
      <c r="G88" s="6" t="n">
        <v>906.78</v>
      </c>
      <c r="H88" s="4" t="n">
        <v>1</v>
      </c>
      <c r="I88" s="7" t="n">
        <f aca="false">IF(H88=0,"",G88/H88)</f>
        <v>906.78</v>
      </c>
      <c r="J88" s="4"/>
    </row>
    <row r="89" customFormat="false" ht="15" hidden="false" customHeight="false" outlineLevel="0" collapsed="false">
      <c r="A89" s="4" t="s">
        <v>260</v>
      </c>
      <c r="B89" s="4" t="s">
        <v>261</v>
      </c>
      <c r="C89" s="4" t="s">
        <v>263</v>
      </c>
      <c r="D89" s="4" t="s">
        <v>173</v>
      </c>
      <c r="E89" s="4" t="s">
        <v>72</v>
      </c>
      <c r="F89" s="4" t="s">
        <v>74</v>
      </c>
      <c r="G89" s="6" t="n">
        <v>1700</v>
      </c>
      <c r="H89" s="4" t="n">
        <v>1</v>
      </c>
      <c r="I89" s="7" t="n">
        <f aca="false">IF(H89=0,"",G89/H89)</f>
        <v>1700</v>
      </c>
      <c r="J89" s="4"/>
    </row>
    <row r="90" customFormat="false" ht="15" hidden="false" customHeight="false" outlineLevel="0" collapsed="false">
      <c r="A90" s="4" t="s">
        <v>260</v>
      </c>
      <c r="B90" s="4" t="s">
        <v>264</v>
      </c>
      <c r="C90" s="4" t="s">
        <v>142</v>
      </c>
      <c r="D90" s="4" t="s">
        <v>173</v>
      </c>
      <c r="E90" s="4" t="s">
        <v>81</v>
      </c>
      <c r="F90" s="4" t="s">
        <v>23</v>
      </c>
      <c r="G90" s="6" t="n">
        <v>5039</v>
      </c>
      <c r="H90" s="4" t="n">
        <v>1</v>
      </c>
      <c r="I90" s="7" t="n">
        <f aca="false">IF(H90=0,"",G90/H90)</f>
        <v>5039</v>
      </c>
      <c r="J90" s="4"/>
    </row>
    <row r="91" customFormat="false" ht="15" hidden="false" customHeight="false" outlineLevel="0" collapsed="false">
      <c r="A91" s="4" t="s">
        <v>260</v>
      </c>
      <c r="B91" s="4" t="s">
        <v>265</v>
      </c>
      <c r="C91" s="4" t="s">
        <v>262</v>
      </c>
      <c r="D91" s="4" t="s">
        <v>173</v>
      </c>
      <c r="E91" s="4" t="s">
        <v>12</v>
      </c>
      <c r="F91" s="4" t="s">
        <v>14</v>
      </c>
      <c r="G91" s="6" t="n">
        <v>1030.43</v>
      </c>
      <c r="H91" s="4" t="n">
        <v>1</v>
      </c>
      <c r="I91" s="7" t="n">
        <f aca="false">IF(H91=0,"",G91/H91)</f>
        <v>1030.43</v>
      </c>
      <c r="J91" s="4"/>
    </row>
    <row r="92" customFormat="false" ht="15" hidden="false" customHeight="false" outlineLevel="0" collapsed="false">
      <c r="A92" s="4" t="s">
        <v>260</v>
      </c>
      <c r="B92" s="4" t="s">
        <v>266</v>
      </c>
      <c r="C92" s="4" t="s">
        <v>142</v>
      </c>
      <c r="D92" s="4" t="s">
        <v>173</v>
      </c>
      <c r="E92" s="4" t="s">
        <v>81</v>
      </c>
      <c r="F92" s="4" t="s">
        <v>23</v>
      </c>
      <c r="G92" s="6" t="n">
        <v>5039</v>
      </c>
      <c r="H92" s="4" t="n">
        <v>1</v>
      </c>
      <c r="I92" s="7" t="n">
        <f aca="false">IF(H92=0,"",G92/H92)</f>
        <v>5039</v>
      </c>
      <c r="J92" s="4"/>
    </row>
    <row r="93" customFormat="false" ht="15" hidden="false" customHeight="false" outlineLevel="0" collapsed="false">
      <c r="A93" s="4" t="s">
        <v>260</v>
      </c>
      <c r="B93" s="4" t="s">
        <v>267</v>
      </c>
      <c r="C93" s="4" t="s">
        <v>142</v>
      </c>
      <c r="D93" s="4" t="s">
        <v>173</v>
      </c>
      <c r="E93" s="4" t="s">
        <v>12</v>
      </c>
      <c r="F93" s="4" t="s">
        <v>14</v>
      </c>
      <c r="G93" s="6" t="n">
        <v>2060.85</v>
      </c>
      <c r="H93" s="4" t="n">
        <v>1</v>
      </c>
      <c r="I93" s="7" t="n">
        <f aca="false">IF(H93=0,"",G93/H93)</f>
        <v>2060.85</v>
      </c>
      <c r="J93" s="4"/>
    </row>
    <row r="94" customFormat="false" ht="15" hidden="false" customHeight="false" outlineLevel="0" collapsed="false">
      <c r="A94" s="4" t="s">
        <v>260</v>
      </c>
      <c r="B94" s="4" t="s">
        <v>268</v>
      </c>
      <c r="C94" s="4" t="s">
        <v>142</v>
      </c>
      <c r="D94" s="4" t="s">
        <v>173</v>
      </c>
      <c r="E94" s="4" t="s">
        <v>72</v>
      </c>
      <c r="F94" s="4" t="s">
        <v>74</v>
      </c>
      <c r="G94" s="6" t="n">
        <v>5100</v>
      </c>
      <c r="H94" s="4" t="n">
        <v>1</v>
      </c>
      <c r="I94" s="7" t="n">
        <f aca="false">IF(H94=0,"",G94/H94)</f>
        <v>5100</v>
      </c>
      <c r="J94" s="4"/>
    </row>
    <row r="95" customFormat="false" ht="15" hidden="false" customHeight="false" outlineLevel="0" collapsed="false">
      <c r="A95" s="4" t="s">
        <v>260</v>
      </c>
      <c r="B95" s="4" t="s">
        <v>269</v>
      </c>
      <c r="C95" s="4" t="s">
        <v>142</v>
      </c>
      <c r="D95" s="4" t="s">
        <v>173</v>
      </c>
      <c r="E95" s="4" t="s">
        <v>12</v>
      </c>
      <c r="F95" s="4" t="s">
        <v>14</v>
      </c>
      <c r="G95" s="6" t="n">
        <v>3421.01</v>
      </c>
      <c r="H95" s="4" t="n">
        <v>1</v>
      </c>
      <c r="I95" s="7" t="n">
        <f aca="false">IF(H95=0,"",G95/H95)</f>
        <v>3421.01</v>
      </c>
      <c r="J95" s="4"/>
    </row>
    <row r="96" customFormat="false" ht="15" hidden="false" customHeight="false" outlineLevel="0" collapsed="false">
      <c r="A96" s="4" t="s">
        <v>260</v>
      </c>
      <c r="B96" s="4" t="s">
        <v>270</v>
      </c>
      <c r="C96" s="4" t="s">
        <v>142</v>
      </c>
      <c r="D96" s="4" t="s">
        <v>173</v>
      </c>
      <c r="E96" s="4" t="s">
        <v>72</v>
      </c>
      <c r="F96" s="4" t="s">
        <v>74</v>
      </c>
      <c r="G96" s="6" t="n">
        <v>4700</v>
      </c>
      <c r="H96" s="4" t="n">
        <v>1</v>
      </c>
      <c r="I96" s="7" t="n">
        <f aca="false">IF(H96=0,"",G96/H96)</f>
        <v>4700</v>
      </c>
      <c r="J96" s="4"/>
    </row>
    <row r="97" customFormat="false" ht="15" hidden="false" customHeight="false" outlineLevel="0" collapsed="false">
      <c r="A97" s="4" t="s">
        <v>260</v>
      </c>
      <c r="B97" s="4" t="s">
        <v>271</v>
      </c>
      <c r="C97" s="4" t="s">
        <v>142</v>
      </c>
      <c r="D97" s="4" t="s">
        <v>173</v>
      </c>
      <c r="E97" s="4" t="s">
        <v>12</v>
      </c>
      <c r="F97" s="4" t="s">
        <v>14</v>
      </c>
      <c r="G97" s="6" t="n">
        <v>3833.19</v>
      </c>
      <c r="H97" s="4" t="n">
        <v>1</v>
      </c>
      <c r="I97" s="7" t="n">
        <f aca="false">IF(H97=0,"",G97/H97)</f>
        <v>3833.19</v>
      </c>
      <c r="J97" s="4"/>
    </row>
    <row r="98" customFormat="false" ht="15" hidden="false" customHeight="false" outlineLevel="0" collapsed="false">
      <c r="A98" s="4" t="s">
        <v>260</v>
      </c>
      <c r="B98" s="4" t="s">
        <v>272</v>
      </c>
      <c r="C98" s="4" t="s">
        <v>142</v>
      </c>
      <c r="D98" s="4" t="s">
        <v>173</v>
      </c>
      <c r="E98" s="4" t="s">
        <v>72</v>
      </c>
      <c r="F98" s="4" t="s">
        <v>74</v>
      </c>
      <c r="G98" s="6" t="n">
        <v>5325</v>
      </c>
      <c r="H98" s="4" t="n">
        <v>1</v>
      </c>
      <c r="I98" s="7" t="n">
        <f aca="false">IF(H98=0,"",G98/H98)</f>
        <v>5325</v>
      </c>
      <c r="J98" s="4"/>
    </row>
    <row r="99" customFormat="false" ht="15" hidden="false" customHeight="false" outlineLevel="0" collapsed="false">
      <c r="A99" s="4" t="s">
        <v>260</v>
      </c>
      <c r="B99" s="4" t="s">
        <v>273</v>
      </c>
      <c r="C99" s="4" t="s">
        <v>142</v>
      </c>
      <c r="D99" s="4" t="s">
        <v>173</v>
      </c>
      <c r="E99" s="4" t="s">
        <v>12</v>
      </c>
      <c r="F99" s="4" t="s">
        <v>14</v>
      </c>
      <c r="G99" s="6" t="n">
        <v>4080.48</v>
      </c>
      <c r="H99" s="4" t="n">
        <v>1</v>
      </c>
      <c r="I99" s="7" t="n">
        <f aca="false">IF(H99=0,"",G99/H99)</f>
        <v>4080.48</v>
      </c>
      <c r="J99" s="4"/>
    </row>
    <row r="100" customFormat="false" ht="15" hidden="false" customHeight="false" outlineLevel="0" collapsed="false">
      <c r="A100" s="4" t="s">
        <v>260</v>
      </c>
      <c r="B100" s="4" t="s">
        <v>273</v>
      </c>
      <c r="C100" s="4" t="s">
        <v>142</v>
      </c>
      <c r="D100" s="4" t="s">
        <v>173</v>
      </c>
      <c r="E100" s="4" t="s">
        <v>72</v>
      </c>
      <c r="F100" s="4" t="s">
        <v>74</v>
      </c>
      <c r="G100" s="6" t="n">
        <v>5475</v>
      </c>
      <c r="H100" s="4" t="n">
        <v>1</v>
      </c>
      <c r="I100" s="7" t="n">
        <f aca="false">IF(H100=0,"",G100/H100)</f>
        <v>5475</v>
      </c>
      <c r="J100" s="4"/>
    </row>
    <row r="101" customFormat="false" ht="15" hidden="false" customHeight="false" outlineLevel="0" collapsed="false">
      <c r="A101" s="4" t="s">
        <v>260</v>
      </c>
      <c r="B101" s="4" t="s">
        <v>274</v>
      </c>
      <c r="C101" s="4" t="s">
        <v>142</v>
      </c>
      <c r="D101" s="4" t="s">
        <v>173</v>
      </c>
      <c r="E101" s="4" t="s">
        <v>12</v>
      </c>
      <c r="F101" s="4" t="s">
        <v>14</v>
      </c>
      <c r="G101" s="6" t="n">
        <v>4327.8</v>
      </c>
      <c r="H101" s="4" t="n">
        <v>1</v>
      </c>
      <c r="I101" s="7" t="n">
        <f aca="false">IF(H101=0,"",G101/H101)</f>
        <v>4327.8</v>
      </c>
      <c r="J101" s="4"/>
    </row>
    <row r="102" customFormat="false" ht="15" hidden="false" customHeight="false" outlineLevel="0" collapsed="false">
      <c r="A102" s="4" t="s">
        <v>260</v>
      </c>
      <c r="B102" s="4" t="s">
        <v>275</v>
      </c>
      <c r="C102" s="4" t="s">
        <v>142</v>
      </c>
      <c r="D102" s="4" t="s">
        <v>173</v>
      </c>
      <c r="E102" s="4" t="s">
        <v>72</v>
      </c>
      <c r="F102" s="4" t="s">
        <v>74</v>
      </c>
      <c r="G102" s="6" t="n">
        <v>6750</v>
      </c>
      <c r="H102" s="4" t="n">
        <v>1</v>
      </c>
      <c r="I102" s="7" t="n">
        <f aca="false">IF(H102=0,"",G102/H102)</f>
        <v>6750</v>
      </c>
      <c r="J102" s="4"/>
    </row>
    <row r="103" customFormat="false" ht="15" hidden="false" customHeight="false" outlineLevel="0" collapsed="false">
      <c r="A103" s="4" t="s">
        <v>260</v>
      </c>
      <c r="B103" s="4" t="s">
        <v>276</v>
      </c>
      <c r="C103" s="4" t="s">
        <v>142</v>
      </c>
      <c r="D103" s="4" t="s">
        <v>173</v>
      </c>
      <c r="E103" s="4" t="s">
        <v>12</v>
      </c>
      <c r="F103" s="4" t="s">
        <v>14</v>
      </c>
      <c r="G103" s="6" t="n">
        <v>4946.05</v>
      </c>
      <c r="H103" s="4" t="n">
        <v>1</v>
      </c>
      <c r="I103" s="7" t="n">
        <f aca="false">IF(H103=0,"",G103/H103)</f>
        <v>4946.05</v>
      </c>
      <c r="J103" s="4"/>
    </row>
    <row r="104" customFormat="false" ht="15" hidden="false" customHeight="false" outlineLevel="0" collapsed="false">
      <c r="A104" s="4" t="s">
        <v>260</v>
      </c>
      <c r="B104" s="4" t="s">
        <v>277</v>
      </c>
      <c r="C104" s="4" t="s">
        <v>142</v>
      </c>
      <c r="D104" s="4" t="s">
        <v>173</v>
      </c>
      <c r="E104" s="4" t="s">
        <v>12</v>
      </c>
      <c r="F104" s="4" t="s">
        <v>14</v>
      </c>
      <c r="G104" s="6" t="n">
        <v>5358.22</v>
      </c>
      <c r="H104" s="4" t="n">
        <v>1</v>
      </c>
      <c r="I104" s="7" t="n">
        <f aca="false">IF(H104=0,"",G104/H104)</f>
        <v>5358.22</v>
      </c>
      <c r="J104" s="4"/>
    </row>
    <row r="105" customFormat="false" ht="15" hidden="false" customHeight="false" outlineLevel="0" collapsed="false">
      <c r="A105" s="4" t="s">
        <v>260</v>
      </c>
      <c r="B105" s="4" t="s">
        <v>277</v>
      </c>
      <c r="C105" s="4" t="s">
        <v>142</v>
      </c>
      <c r="D105" s="4" t="s">
        <v>173</v>
      </c>
      <c r="E105" s="4" t="s">
        <v>72</v>
      </c>
      <c r="F105" s="4" t="s">
        <v>74</v>
      </c>
      <c r="G105" s="6" t="n">
        <v>7025</v>
      </c>
      <c r="H105" s="4" t="n">
        <v>1</v>
      </c>
      <c r="I105" s="7" t="n">
        <f aca="false">IF(H105=0,"",G105/H105)</f>
        <v>7025</v>
      </c>
      <c r="J105" s="4"/>
    </row>
    <row r="106" customFormat="false" ht="15" hidden="false" customHeight="false" outlineLevel="0" collapsed="false">
      <c r="A106" s="4" t="s">
        <v>260</v>
      </c>
      <c r="B106" s="4" t="s">
        <v>278</v>
      </c>
      <c r="C106" s="4" t="s">
        <v>142</v>
      </c>
      <c r="D106" s="4" t="s">
        <v>173</v>
      </c>
      <c r="E106" s="4" t="s">
        <v>12</v>
      </c>
      <c r="F106" s="4" t="s">
        <v>14</v>
      </c>
      <c r="G106" s="6" t="n">
        <v>5935.26</v>
      </c>
      <c r="H106" s="4" t="n">
        <v>1</v>
      </c>
      <c r="I106" s="7" t="n">
        <f aca="false">IF(H106=0,"",G106/H106)</f>
        <v>5935.26</v>
      </c>
      <c r="J106" s="4"/>
    </row>
    <row r="107" customFormat="false" ht="15" hidden="false" customHeight="false" outlineLevel="0" collapsed="false">
      <c r="A107" s="4" t="s">
        <v>260</v>
      </c>
      <c r="B107" s="4" t="s">
        <v>278</v>
      </c>
      <c r="C107" s="4" t="s">
        <v>142</v>
      </c>
      <c r="D107" s="4" t="s">
        <v>173</v>
      </c>
      <c r="E107" s="4" t="s">
        <v>72</v>
      </c>
      <c r="F107" s="4" t="s">
        <v>74</v>
      </c>
      <c r="G107" s="6" t="n">
        <v>8875</v>
      </c>
      <c r="H107" s="4" t="n">
        <v>1</v>
      </c>
      <c r="I107" s="7" t="n">
        <f aca="false">IF(H107=0,"",G107/H107)</f>
        <v>8875</v>
      </c>
      <c r="J107" s="4"/>
    </row>
    <row r="108" customFormat="false" ht="15" hidden="false" customHeight="false" outlineLevel="0" collapsed="false">
      <c r="A108" s="4" t="s">
        <v>260</v>
      </c>
      <c r="B108" s="4" t="s">
        <v>279</v>
      </c>
      <c r="C108" s="4" t="s">
        <v>142</v>
      </c>
      <c r="D108" s="4" t="s">
        <v>173</v>
      </c>
      <c r="E108" s="4" t="s">
        <v>72</v>
      </c>
      <c r="F108" s="4" t="s">
        <v>74</v>
      </c>
      <c r="G108" s="6" t="n">
        <v>9175</v>
      </c>
      <c r="H108" s="4" t="n">
        <v>1</v>
      </c>
      <c r="I108" s="7" t="n">
        <f aca="false">IF(H108=0,"",G108/H108)</f>
        <v>9175</v>
      </c>
      <c r="J108" s="4"/>
    </row>
    <row r="109" customFormat="false" ht="15" hidden="false" customHeight="false" outlineLevel="0" collapsed="false">
      <c r="A109" s="4" t="s">
        <v>280</v>
      </c>
      <c r="B109" s="4" t="s">
        <v>281</v>
      </c>
      <c r="C109" s="4" t="s">
        <v>142</v>
      </c>
      <c r="D109" s="4" t="s">
        <v>173</v>
      </c>
      <c r="E109" s="4" t="s">
        <v>48</v>
      </c>
      <c r="F109" s="4" t="s">
        <v>32</v>
      </c>
      <c r="G109" s="6" t="n">
        <v>4490</v>
      </c>
      <c r="H109" s="4" t="n">
        <v>1</v>
      </c>
      <c r="I109" s="7" t="n">
        <f aca="false">IF(H109=0,"",G109/H109)</f>
        <v>4490</v>
      </c>
      <c r="J109" s="4" t="s">
        <v>222</v>
      </c>
    </row>
    <row r="110" customFormat="false" ht="15" hidden="false" customHeight="false" outlineLevel="0" collapsed="false">
      <c r="A110" s="4" t="s">
        <v>280</v>
      </c>
      <c r="B110" s="4" t="s">
        <v>281</v>
      </c>
      <c r="C110" s="4" t="s">
        <v>142</v>
      </c>
      <c r="D110" s="4" t="s">
        <v>173</v>
      </c>
      <c r="E110" s="4" t="s">
        <v>72</v>
      </c>
      <c r="F110" s="4" t="s">
        <v>74</v>
      </c>
      <c r="G110" s="6" t="n">
        <v>3300</v>
      </c>
      <c r="H110" s="4" t="n">
        <v>1</v>
      </c>
      <c r="I110" s="7" t="n">
        <f aca="false">IF(H110=0,"",G110/H110)</f>
        <v>3300</v>
      </c>
      <c r="J110" s="4"/>
    </row>
    <row r="111" customFormat="false" ht="15" hidden="false" customHeight="false" outlineLevel="0" collapsed="false">
      <c r="A111" s="4" t="s">
        <v>280</v>
      </c>
      <c r="B111" s="4" t="s">
        <v>282</v>
      </c>
      <c r="C111" s="4" t="s">
        <v>283</v>
      </c>
      <c r="D111" s="4" t="s">
        <v>284</v>
      </c>
      <c r="E111" s="4" t="s">
        <v>48</v>
      </c>
      <c r="F111" s="4" t="s">
        <v>32</v>
      </c>
      <c r="G111" s="6" t="n">
        <v>3790</v>
      </c>
      <c r="H111" s="4" t="n">
        <v>1</v>
      </c>
      <c r="I111" s="7" t="n">
        <f aca="false">IF(H111=0,"",G111/H111)</f>
        <v>3790</v>
      </c>
      <c r="J111" s="4"/>
    </row>
    <row r="112" customFormat="false" ht="15" hidden="false" customHeight="false" outlineLevel="0" collapsed="false">
      <c r="A112" s="4" t="s">
        <v>280</v>
      </c>
      <c r="B112" s="4" t="s">
        <v>285</v>
      </c>
      <c r="C112" s="4" t="s">
        <v>283</v>
      </c>
      <c r="D112" s="4" t="s">
        <v>284</v>
      </c>
      <c r="E112" s="4" t="s">
        <v>12</v>
      </c>
      <c r="F112" s="4" t="s">
        <v>14</v>
      </c>
      <c r="G112" s="6" t="n">
        <v>1345.5</v>
      </c>
      <c r="H112" s="4" t="n">
        <v>1</v>
      </c>
      <c r="I112" s="7" t="n">
        <f aca="false">IF(H112=0,"",G112/H112)</f>
        <v>1345.5</v>
      </c>
      <c r="J112" s="4"/>
    </row>
    <row r="113" customFormat="false" ht="15" hidden="false" customHeight="false" outlineLevel="0" collapsed="false">
      <c r="A113" s="4" t="s">
        <v>280</v>
      </c>
      <c r="B113" s="4" t="s">
        <v>286</v>
      </c>
      <c r="C113" s="4" t="s">
        <v>283</v>
      </c>
      <c r="D113" s="4" t="s">
        <v>284</v>
      </c>
      <c r="E113" s="4" t="s">
        <v>48</v>
      </c>
      <c r="F113" s="4" t="s">
        <v>32</v>
      </c>
      <c r="G113" s="6" t="n">
        <v>3490</v>
      </c>
      <c r="H113" s="4" t="n">
        <v>1</v>
      </c>
      <c r="I113" s="7" t="n">
        <f aca="false">IF(H113=0,"",G113/H113)</f>
        <v>3490</v>
      </c>
      <c r="J113" s="4"/>
    </row>
    <row r="114" customFormat="false" ht="15" hidden="false" customHeight="false" outlineLevel="0" collapsed="false">
      <c r="A114" s="4" t="s">
        <v>280</v>
      </c>
      <c r="B114" s="4" t="s">
        <v>287</v>
      </c>
      <c r="C114" s="4" t="s">
        <v>142</v>
      </c>
      <c r="D114" s="4" t="s">
        <v>173</v>
      </c>
      <c r="E114" s="4" t="s">
        <v>48</v>
      </c>
      <c r="F114" s="4" t="s">
        <v>32</v>
      </c>
      <c r="G114" s="6" t="n">
        <v>1790</v>
      </c>
      <c r="H114" s="4" t="n">
        <v>1</v>
      </c>
      <c r="I114" s="7" t="n">
        <f aca="false">IF(H114=0,"",G114/H114)</f>
        <v>1790</v>
      </c>
      <c r="J114" s="4"/>
    </row>
    <row r="115" customFormat="false" ht="15" hidden="false" customHeight="false" outlineLevel="0" collapsed="false">
      <c r="A115" s="4" t="s">
        <v>280</v>
      </c>
      <c r="B115" s="4" t="s">
        <v>288</v>
      </c>
      <c r="C115" s="4" t="s">
        <v>142</v>
      </c>
      <c r="D115" s="4" t="s">
        <v>173</v>
      </c>
      <c r="E115" s="4" t="s">
        <v>12</v>
      </c>
      <c r="F115" s="4" t="s">
        <v>14</v>
      </c>
      <c r="G115" s="6" t="n">
        <v>739</v>
      </c>
      <c r="H115" s="4" t="n">
        <v>1</v>
      </c>
      <c r="I115" s="7" t="n">
        <f aca="false">IF(H115=0,"",G115/H115)</f>
        <v>739</v>
      </c>
      <c r="J115" s="4"/>
    </row>
    <row r="116" customFormat="false" ht="15" hidden="false" customHeight="false" outlineLevel="0" collapsed="false">
      <c r="A116" s="4" t="s">
        <v>280</v>
      </c>
      <c r="B116" s="4" t="s">
        <v>289</v>
      </c>
      <c r="C116" s="4" t="s">
        <v>290</v>
      </c>
      <c r="D116" s="4" t="s">
        <v>291</v>
      </c>
      <c r="E116" s="4" t="s">
        <v>12</v>
      </c>
      <c r="F116" s="4" t="s">
        <v>14</v>
      </c>
      <c r="G116" s="6" t="n">
        <v>1895</v>
      </c>
      <c r="H116" s="4" t="n">
        <v>1</v>
      </c>
      <c r="I116" s="7" t="n">
        <f aca="false">IF(H116=0,"",G116/H116)</f>
        <v>1895</v>
      </c>
      <c r="J116" s="4"/>
    </row>
    <row r="117" customFormat="false" ht="15" hidden="false" customHeight="false" outlineLevel="0" collapsed="false">
      <c r="A117" s="4" t="s">
        <v>280</v>
      </c>
      <c r="B117" s="4" t="s">
        <v>292</v>
      </c>
      <c r="C117" s="4" t="s">
        <v>142</v>
      </c>
      <c r="D117" s="4" t="s">
        <v>173</v>
      </c>
      <c r="E117" s="4" t="s">
        <v>48</v>
      </c>
      <c r="F117" s="4" t="s">
        <v>32</v>
      </c>
      <c r="G117" s="6" t="n">
        <v>1890</v>
      </c>
      <c r="H117" s="4" t="n">
        <v>1</v>
      </c>
      <c r="I117" s="7" t="n">
        <f aca="false">IF(H117=0,"",G117/H117)</f>
        <v>1890</v>
      </c>
      <c r="J117" s="4"/>
    </row>
    <row r="118" customFormat="false" ht="15" hidden="false" customHeight="false" outlineLevel="0" collapsed="false">
      <c r="A118" s="4" t="s">
        <v>280</v>
      </c>
      <c r="B118" s="4" t="s">
        <v>293</v>
      </c>
      <c r="C118" s="4" t="s">
        <v>142</v>
      </c>
      <c r="D118" s="4" t="s">
        <v>173</v>
      </c>
      <c r="E118" s="4" t="s">
        <v>48</v>
      </c>
      <c r="F118" s="4" t="s">
        <v>32</v>
      </c>
      <c r="G118" s="6" t="n">
        <v>7890</v>
      </c>
      <c r="H118" s="4" t="n">
        <v>1</v>
      </c>
      <c r="I118" s="7" t="n">
        <f aca="false">IF(H118=0,"",G118/H118)</f>
        <v>7890</v>
      </c>
      <c r="J118" s="4"/>
    </row>
    <row r="119" customFormat="false" ht="15" hidden="false" customHeight="false" outlineLevel="0" collapsed="false">
      <c r="A119" s="4" t="s">
        <v>280</v>
      </c>
      <c r="B119" s="4" t="s">
        <v>294</v>
      </c>
      <c r="C119" s="4" t="s">
        <v>142</v>
      </c>
      <c r="D119" s="4" t="s">
        <v>173</v>
      </c>
      <c r="E119" s="4" t="s">
        <v>48</v>
      </c>
      <c r="F119" s="4" t="s">
        <v>32</v>
      </c>
      <c r="G119" s="6" t="n">
        <v>2990</v>
      </c>
      <c r="H119" s="4" t="n">
        <v>1</v>
      </c>
      <c r="I119" s="7" t="n">
        <f aca="false">IF(H119=0,"",G119/H119)</f>
        <v>2990</v>
      </c>
      <c r="J119" s="4"/>
    </row>
    <row r="120" customFormat="false" ht="15" hidden="false" customHeight="false" outlineLevel="0" collapsed="false">
      <c r="A120" s="4" t="s">
        <v>280</v>
      </c>
      <c r="B120" s="4" t="s">
        <v>295</v>
      </c>
      <c r="C120" s="4" t="s">
        <v>142</v>
      </c>
      <c r="D120" s="4" t="s">
        <v>173</v>
      </c>
      <c r="E120" s="4" t="s">
        <v>72</v>
      </c>
      <c r="F120" s="4" t="s">
        <v>74</v>
      </c>
      <c r="G120" s="6" t="n">
        <v>2625</v>
      </c>
      <c r="H120" s="4" t="n">
        <v>1</v>
      </c>
      <c r="I120" s="7" t="n">
        <f aca="false">IF(H120=0,"",G120/H120)</f>
        <v>2625</v>
      </c>
      <c r="J120" s="4"/>
    </row>
    <row r="121" customFormat="false" ht="35.05" hidden="false" customHeight="false" outlineLevel="0" collapsed="false">
      <c r="A121" s="4" t="s">
        <v>296</v>
      </c>
      <c r="B121" s="4" t="s">
        <v>297</v>
      </c>
      <c r="C121" s="4" t="s">
        <v>298</v>
      </c>
      <c r="D121" s="4" t="s">
        <v>284</v>
      </c>
      <c r="E121" s="4" t="s">
        <v>39</v>
      </c>
      <c r="F121" s="4" t="s">
        <v>186</v>
      </c>
      <c r="G121" s="6" t="n">
        <v>90615</v>
      </c>
      <c r="H121" s="4" t="n">
        <v>1</v>
      </c>
      <c r="I121" s="7" t="n">
        <f aca="false">IF(H121=0,"",G121/H121)</f>
        <v>90615</v>
      </c>
      <c r="J121" s="4" t="s">
        <v>299</v>
      </c>
    </row>
    <row r="122" customFormat="false" ht="15" hidden="false" customHeight="false" outlineLevel="0" collapsed="false">
      <c r="A122" s="4" t="s">
        <v>296</v>
      </c>
      <c r="B122" s="4" t="s">
        <v>300</v>
      </c>
      <c r="C122" s="4" t="s">
        <v>298</v>
      </c>
      <c r="D122" s="4" t="s">
        <v>284</v>
      </c>
      <c r="E122" s="4" t="s">
        <v>48</v>
      </c>
      <c r="F122" s="4" t="s">
        <v>32</v>
      </c>
      <c r="G122" s="6" t="n">
        <v>129390</v>
      </c>
      <c r="H122" s="4" t="n">
        <v>1</v>
      </c>
      <c r="I122" s="7" t="n">
        <f aca="false">IF(H122=0,"",G122/H122)</f>
        <v>129390</v>
      </c>
      <c r="J122" s="4" t="s">
        <v>301</v>
      </c>
    </row>
    <row r="125" customFormat="false" ht="15" hidden="false" customHeight="false" outlineLevel="0" collapsed="false">
      <c r="A125" s="8" t="s">
        <v>302</v>
      </c>
    </row>
    <row r="126" customFormat="false" ht="30" hidden="false" customHeight="true" outlineLevel="0" collapsed="false">
      <c r="A126" s="3" t="s">
        <v>139</v>
      </c>
      <c r="B126" s="3" t="s">
        <v>142</v>
      </c>
      <c r="C126" s="3" t="s">
        <v>303</v>
      </c>
      <c r="D126" s="3" t="s">
        <v>304</v>
      </c>
      <c r="E126" s="3" t="s">
        <v>305</v>
      </c>
    </row>
    <row r="127" customFormat="false" ht="15" hidden="false" customHeight="false" outlineLevel="0" collapsed="false">
      <c r="A127" s="9" t="s">
        <v>147</v>
      </c>
      <c r="B127" s="10" t="s">
        <v>150</v>
      </c>
      <c r="C127" s="11" t="n">
        <f aca="false">_xlfn.MINIFS($I$5:$I$122,$A$5:$A$122,$A127,$D$5:$D$122,$B127)</f>
        <v>5561.4</v>
      </c>
      <c r="D127" s="11" t="n">
        <f aca="false">_xlfn.MAXIFS($I$5:$I$122,$A$5:$A$122,$A127,$D$5:$D$122,$B127)</f>
        <v>26600</v>
      </c>
      <c r="E127" s="10" t="n">
        <f aca="false">COUNTIFS($A$5:$A$122,$A127,$D$5:$D$122,$B127)</f>
        <v>18</v>
      </c>
    </row>
    <row r="128" customFormat="false" ht="15" hidden="false" customHeight="false" outlineLevel="0" collapsed="false">
      <c r="A128" s="9" t="s">
        <v>161</v>
      </c>
      <c r="B128" s="10" t="s">
        <v>150</v>
      </c>
      <c r="C128" s="11" t="n">
        <f aca="false">_xlfn.MINIFS($I$5:$I$122,$A$5:$A$122,$A128,$D$5:$D$122,$B128)</f>
        <v>5747.4</v>
      </c>
      <c r="D128" s="11" t="n">
        <f aca="false">_xlfn.MAXIFS($I$5:$I$122,$A$5:$A$122,$A128,$D$5:$D$122,$B128)</f>
        <v>14276.12</v>
      </c>
      <c r="E128" s="10" t="n">
        <f aca="false">COUNTIFS($A$5:$A$122,$A128,$D$5:$D$122,$B128)</f>
        <v>5</v>
      </c>
    </row>
    <row r="129" customFormat="false" ht="15" hidden="false" customHeight="false" outlineLevel="0" collapsed="false">
      <c r="A129" s="9" t="s">
        <v>171</v>
      </c>
      <c r="B129" s="10" t="s">
        <v>173</v>
      </c>
      <c r="C129" s="11" t="n">
        <f aca="false">_xlfn.MINIFS($I$5:$I$122,$A$5:$A$122,$A129,$D$5:$D$122,$B129)</f>
        <v>352.69</v>
      </c>
      <c r="D129" s="11" t="n">
        <f aca="false">_xlfn.MAXIFS($I$5:$I$122,$A$5:$A$122,$A129,$D$5:$D$122,$B129)</f>
        <v>1128.61</v>
      </c>
      <c r="E129" s="10" t="n">
        <f aca="false">COUNTIFS($A$5:$A$122,$A129,$D$5:$D$122,$B129)</f>
        <v>2</v>
      </c>
    </row>
    <row r="130" customFormat="false" ht="15" hidden="false" customHeight="false" outlineLevel="0" collapsed="false">
      <c r="A130" s="9" t="s">
        <v>171</v>
      </c>
      <c r="B130" s="10" t="s">
        <v>150</v>
      </c>
      <c r="C130" s="11" t="n">
        <f aca="false">_xlfn.MINIFS($I$5:$I$122,$A$5:$A$122,$A130,$D$5:$D$122,$B130)</f>
        <v>2292.1</v>
      </c>
      <c r="D130" s="11" t="n">
        <f aca="false">_xlfn.MAXIFS($I$5:$I$122,$A$5:$A$122,$A130,$D$5:$D$122,$B130)</f>
        <v>2475</v>
      </c>
      <c r="E130" s="10" t="n">
        <f aca="false">COUNTIFS($A$5:$A$122,$A130,$D$5:$D$122,$B130)</f>
        <v>2</v>
      </c>
    </row>
    <row r="131" customFormat="false" ht="15" hidden="false" customHeight="false" outlineLevel="0" collapsed="false">
      <c r="A131" s="9" t="s">
        <v>178</v>
      </c>
      <c r="B131" s="10" t="s">
        <v>181</v>
      </c>
      <c r="C131" s="11" t="n">
        <f aca="false">_xlfn.MINIFS($I$5:$I$122,$A$5:$A$122,$A131,$D$5:$D$122,$B131)</f>
        <v>841.23</v>
      </c>
      <c r="D131" s="11" t="n">
        <f aca="false">_xlfn.MAXIFS($I$5:$I$122,$A$5:$A$122,$A131,$D$5:$D$122,$B131)</f>
        <v>7976.04</v>
      </c>
      <c r="E131" s="10" t="n">
        <f aca="false">COUNTIFS($A$5:$A$122,$A131,$D$5:$D$122,$B131)</f>
        <v>18</v>
      </c>
    </row>
    <row r="132" customFormat="false" ht="15" hidden="false" customHeight="false" outlineLevel="0" collapsed="false">
      <c r="A132" s="9" t="s">
        <v>208</v>
      </c>
      <c r="B132" s="10" t="s">
        <v>150</v>
      </c>
      <c r="C132" s="11" t="n">
        <f aca="false">_xlfn.MINIFS($I$5:$I$122,$A$5:$A$122,$A132,$D$5:$D$122,$B132)</f>
        <v>155.122</v>
      </c>
      <c r="D132" s="11" t="n">
        <f aca="false">_xlfn.MAXIFS($I$5:$I$122,$A$5:$A$122,$A132,$D$5:$D$122,$B132)</f>
        <v>576.3425</v>
      </c>
      <c r="E132" s="10" t="n">
        <f aca="false">COUNTIFS($A$5:$A$122,$A132,$D$5:$D$122,$B132)</f>
        <v>8</v>
      </c>
    </row>
    <row r="133" customFormat="false" ht="15" hidden="false" customHeight="false" outlineLevel="0" collapsed="false">
      <c r="A133" s="9" t="s">
        <v>208</v>
      </c>
      <c r="B133" s="10" t="s">
        <v>221</v>
      </c>
      <c r="C133" s="11" t="n">
        <f aca="false">_xlfn.MINIFS($I$5:$I$122,$A$5:$A$122,$A133,$D$5:$D$122,$B133)</f>
        <v>2164.5</v>
      </c>
      <c r="D133" s="11" t="n">
        <f aca="false">_xlfn.MAXIFS($I$5:$I$122,$A$5:$A$122,$A133,$D$5:$D$122,$B133)</f>
        <v>3990</v>
      </c>
      <c r="E133" s="10" t="n">
        <f aca="false">COUNTIFS($A$5:$A$122,$A133,$D$5:$D$122,$B133)</f>
        <v>2</v>
      </c>
    </row>
    <row r="134" customFormat="false" ht="15" hidden="false" customHeight="false" outlineLevel="0" collapsed="false">
      <c r="A134" s="9" t="s">
        <v>226</v>
      </c>
      <c r="B134" s="10" t="s">
        <v>150</v>
      </c>
      <c r="C134" s="11" t="n">
        <f aca="false">_xlfn.MINIFS($I$5:$I$122,$A$5:$A$122,$A134,$D$5:$D$122,$B134)</f>
        <v>1389.15</v>
      </c>
      <c r="D134" s="11" t="n">
        <f aca="false">_xlfn.MAXIFS($I$5:$I$122,$A$5:$A$122,$A134,$D$5:$D$122,$B134)</f>
        <v>5901.5723</v>
      </c>
      <c r="E134" s="10" t="n">
        <f aca="false">COUNTIFS($A$5:$A$122,$A134,$D$5:$D$122,$B134)</f>
        <v>12</v>
      </c>
    </row>
    <row r="135" customFormat="false" ht="15" hidden="false" customHeight="false" outlineLevel="0" collapsed="false">
      <c r="A135" s="9" t="s">
        <v>235</v>
      </c>
      <c r="B135" s="10" t="s">
        <v>173</v>
      </c>
      <c r="C135" s="11" t="n">
        <f aca="false">_xlfn.MINIFS($I$5:$I$122,$A$5:$A$122,$A135,$D$5:$D$122,$B135)</f>
        <v>8143.2</v>
      </c>
      <c r="D135" s="11" t="n">
        <f aca="false">_xlfn.MAXIFS($I$5:$I$122,$A$5:$A$122,$A135,$D$5:$D$122,$B135)</f>
        <v>16090</v>
      </c>
      <c r="E135" s="10" t="n">
        <f aca="false">COUNTIFS($A$5:$A$122,$A135,$D$5:$D$122,$B135)</f>
        <v>4</v>
      </c>
    </row>
    <row r="136" customFormat="false" ht="15" hidden="false" customHeight="false" outlineLevel="0" collapsed="false">
      <c r="A136" s="9" t="s">
        <v>235</v>
      </c>
      <c r="B136" s="10" t="s">
        <v>243</v>
      </c>
      <c r="C136" s="11" t="n">
        <f aca="false">_xlfn.MINIFS($I$5:$I$122,$A$5:$A$122,$A136,$D$5:$D$122,$B136)</f>
        <v>17952.02</v>
      </c>
      <c r="D136" s="11" t="n">
        <f aca="false">_xlfn.MAXIFS($I$5:$I$122,$A$5:$A$122,$A136,$D$5:$D$122,$B136)</f>
        <v>23090</v>
      </c>
      <c r="E136" s="10" t="n">
        <f aca="false">COUNTIFS($A$5:$A$122,$A136,$D$5:$D$122,$B136)</f>
        <v>3</v>
      </c>
    </row>
    <row r="137" customFormat="false" ht="15" hidden="false" customHeight="false" outlineLevel="0" collapsed="false">
      <c r="A137" s="9" t="s">
        <v>252</v>
      </c>
      <c r="B137" s="10" t="s">
        <v>150</v>
      </c>
      <c r="C137" s="11" t="n">
        <f aca="false">_xlfn.MINIFS($I$5:$I$122,$A$5:$A$122,$A137,$D$5:$D$122,$B137)</f>
        <v>537.6</v>
      </c>
      <c r="D137" s="11" t="n">
        <f aca="false">_xlfn.MAXIFS($I$5:$I$122,$A$5:$A$122,$A137,$D$5:$D$122,$B137)</f>
        <v>2362.5</v>
      </c>
      <c r="E137" s="10" t="n">
        <f aca="false">COUNTIFS($A$5:$A$122,$A137,$D$5:$D$122,$B137)</f>
        <v>8</v>
      </c>
    </row>
    <row r="138" customFormat="false" ht="15" hidden="false" customHeight="false" outlineLevel="0" collapsed="false">
      <c r="A138" s="9" t="s">
        <v>252</v>
      </c>
      <c r="B138" s="10" t="s">
        <v>173</v>
      </c>
      <c r="C138" s="11" t="n">
        <f aca="false">_xlfn.MINIFS($I$5:$I$122,$A$5:$A$122,$A138,$D$5:$D$122,$B138)</f>
        <v>297</v>
      </c>
      <c r="D138" s="11" t="n">
        <f aca="false">_xlfn.MAXIFS($I$5:$I$122,$A$5:$A$122,$A138,$D$5:$D$122,$B138)</f>
        <v>297</v>
      </c>
      <c r="E138" s="10" t="n">
        <f aca="false">COUNTIFS($A$5:$A$122,$A138,$D$5:$D$122,$B138)</f>
        <v>1</v>
      </c>
    </row>
    <row r="139" customFormat="false" ht="15" hidden="false" customHeight="false" outlineLevel="0" collapsed="false">
      <c r="A139" s="9" t="s">
        <v>260</v>
      </c>
      <c r="B139" s="10" t="s">
        <v>173</v>
      </c>
      <c r="C139" s="11" t="n">
        <f aca="false">_xlfn.MINIFS($I$5:$I$122,$A$5:$A$122,$A139,$D$5:$D$122,$B139)</f>
        <v>906.78</v>
      </c>
      <c r="D139" s="11" t="n">
        <f aca="false">_xlfn.MAXIFS($I$5:$I$122,$A$5:$A$122,$A139,$D$5:$D$122,$B139)</f>
        <v>9175</v>
      </c>
      <c r="E139" s="10" t="n">
        <f aca="false">COUNTIFS($A$5:$A$122,$A139,$D$5:$D$122,$B139)</f>
        <v>21</v>
      </c>
    </row>
    <row r="140" customFormat="false" ht="15" hidden="false" customHeight="false" outlineLevel="0" collapsed="false">
      <c r="A140" s="9" t="s">
        <v>280</v>
      </c>
      <c r="B140" s="10" t="s">
        <v>173</v>
      </c>
      <c r="C140" s="11" t="n">
        <f aca="false">_xlfn.MINIFS($I$5:$I$122,$A$5:$A$122,$A140,$D$5:$D$122,$B140)</f>
        <v>739</v>
      </c>
      <c r="D140" s="11" t="n">
        <f aca="false">_xlfn.MAXIFS($I$5:$I$122,$A$5:$A$122,$A140,$D$5:$D$122,$B140)</f>
        <v>7890</v>
      </c>
      <c r="E140" s="10" t="n">
        <f aca="false">COUNTIFS($A$5:$A$122,$A140,$D$5:$D$122,$B140)</f>
        <v>8</v>
      </c>
    </row>
    <row r="141" customFormat="false" ht="15" hidden="false" customHeight="false" outlineLevel="0" collapsed="false">
      <c r="A141" s="9" t="s">
        <v>280</v>
      </c>
      <c r="B141" s="10" t="s">
        <v>284</v>
      </c>
      <c r="C141" s="11" t="n">
        <f aca="false">_xlfn.MINIFS($I$5:$I$122,$A$5:$A$122,$A141,$D$5:$D$122,$B141)</f>
        <v>1345.5</v>
      </c>
      <c r="D141" s="11" t="n">
        <f aca="false">_xlfn.MAXIFS($I$5:$I$122,$A$5:$A$122,$A141,$D$5:$D$122,$B141)</f>
        <v>3790</v>
      </c>
      <c r="E141" s="10" t="n">
        <f aca="false">COUNTIFS($A$5:$A$122,$A141,$D$5:$D$122,$B141)</f>
        <v>3</v>
      </c>
    </row>
    <row r="142" customFormat="false" ht="15" hidden="false" customHeight="false" outlineLevel="0" collapsed="false">
      <c r="A142" s="9" t="s">
        <v>280</v>
      </c>
      <c r="B142" s="10" t="s">
        <v>291</v>
      </c>
      <c r="C142" s="11" t="n">
        <f aca="false">_xlfn.MINIFS($I$5:$I$122,$A$5:$A$122,$A142,$D$5:$D$122,$B142)</f>
        <v>1895</v>
      </c>
      <c r="D142" s="11" t="n">
        <f aca="false">_xlfn.MAXIFS($I$5:$I$122,$A$5:$A$122,$A142,$D$5:$D$122,$B142)</f>
        <v>1895</v>
      </c>
      <c r="E142" s="10" t="n">
        <f aca="false">COUNTIFS($A$5:$A$122,$A142,$D$5:$D$122,$B142)</f>
        <v>1</v>
      </c>
    </row>
    <row r="143" customFormat="false" ht="15" hidden="false" customHeight="false" outlineLevel="0" collapsed="false">
      <c r="A143" s="9" t="s">
        <v>296</v>
      </c>
      <c r="B143" s="10" t="s">
        <v>284</v>
      </c>
      <c r="C143" s="11" t="n">
        <f aca="false">_xlfn.MINIFS($I$5:$I$122,$A$5:$A$122,$A143,$D$5:$D$122,$B143)</f>
        <v>90615</v>
      </c>
      <c r="D143" s="11" t="n">
        <f aca="false">_xlfn.MAXIFS($I$5:$I$122,$A$5:$A$122,$A143,$D$5:$D$122,$B143)</f>
        <v>129390</v>
      </c>
      <c r="E143" s="10" t="n">
        <f aca="false">COUNTIFS($A$5:$A$122,$A143,$D$5:$D$122,$B143)</f>
        <v>2</v>
      </c>
    </row>
    <row r="145" customFormat="false" ht="15" hidden="false" customHeight="false" outlineLevel="0" collapsed="false">
      <c r="A145" s="12" t="s">
        <v>306</v>
      </c>
    </row>
  </sheetData>
  <autoFilter ref="A4:J122"/>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3" min="3" style="0" width="12"/>
    <col collapsed="false" customWidth="true" hidden="false" outlineLevel="0" max="5" min="4" style="0" width="46"/>
    <col collapsed="false" customWidth="true" hidden="false" outlineLevel="0" max="6" min="6" style="0" width="60"/>
  </cols>
  <sheetData>
    <row r="1" customFormat="false" ht="17.35" hidden="false" customHeight="false" outlineLevel="0" collapsed="false">
      <c r="A1" s="1" t="s">
        <v>307</v>
      </c>
      <c r="B1" s="1"/>
      <c r="C1" s="1"/>
      <c r="D1" s="1"/>
      <c r="E1" s="1"/>
      <c r="F1" s="1"/>
    </row>
    <row r="2" customFormat="false" ht="15" hidden="false" customHeight="false" outlineLevel="0" collapsed="false">
      <c r="A2" s="2" t="s">
        <v>308</v>
      </c>
      <c r="B2" s="2"/>
      <c r="C2" s="2"/>
      <c r="D2" s="2"/>
      <c r="E2" s="2"/>
      <c r="F2" s="2"/>
    </row>
    <row r="4" customFormat="false" ht="30" hidden="false" customHeight="true" outlineLevel="0" collapsed="false">
      <c r="A4" s="3" t="s">
        <v>3</v>
      </c>
      <c r="B4" s="3" t="s">
        <v>4</v>
      </c>
      <c r="C4" s="3" t="s">
        <v>5</v>
      </c>
      <c r="D4" s="3" t="s">
        <v>6</v>
      </c>
      <c r="E4" s="3" t="s">
        <v>309</v>
      </c>
      <c r="F4" s="3" t="s">
        <v>310</v>
      </c>
    </row>
    <row r="5" customFormat="false" ht="55.5" hidden="false" customHeight="true" outlineLevel="0" collapsed="false">
      <c r="A5" s="4" t="s">
        <v>311</v>
      </c>
      <c r="B5" s="5" t="s">
        <v>312</v>
      </c>
      <c r="C5" s="4" t="s">
        <v>23</v>
      </c>
      <c r="D5" s="4" t="s">
        <v>313</v>
      </c>
      <c r="E5" s="4" t="s">
        <v>314</v>
      </c>
      <c r="F5" s="4" t="s">
        <v>315</v>
      </c>
    </row>
    <row r="6" customFormat="false" ht="55.5" hidden="false" customHeight="true" outlineLevel="0" collapsed="false">
      <c r="A6" s="4" t="s">
        <v>316</v>
      </c>
      <c r="B6" s="5" t="s">
        <v>317</v>
      </c>
      <c r="C6" s="4" t="s">
        <v>23</v>
      </c>
      <c r="D6" s="4" t="s">
        <v>318</v>
      </c>
      <c r="E6" s="4" t="s">
        <v>319</v>
      </c>
      <c r="F6" s="4" t="s">
        <v>320</v>
      </c>
    </row>
    <row r="7" customFormat="false" ht="55.5" hidden="false" customHeight="true" outlineLevel="0" collapsed="false">
      <c r="A7" s="4" t="s">
        <v>321</v>
      </c>
      <c r="B7" s="5" t="s">
        <v>322</v>
      </c>
      <c r="C7" s="4" t="s">
        <v>74</v>
      </c>
      <c r="D7" s="4" t="s">
        <v>323</v>
      </c>
      <c r="E7" s="4" t="s">
        <v>324</v>
      </c>
      <c r="F7" s="4" t="s">
        <v>325</v>
      </c>
    </row>
    <row r="8" customFormat="false" ht="55.5" hidden="false" customHeight="true" outlineLevel="0" collapsed="false">
      <c r="A8" s="4" t="s">
        <v>326</v>
      </c>
      <c r="B8" s="5" t="s">
        <v>327</v>
      </c>
      <c r="C8" s="4" t="s">
        <v>32</v>
      </c>
      <c r="D8" s="4" t="s">
        <v>328</v>
      </c>
      <c r="E8" s="4" t="s">
        <v>329</v>
      </c>
      <c r="F8" s="4" t="s">
        <v>330</v>
      </c>
    </row>
    <row r="9" customFormat="false" ht="55.5" hidden="false" customHeight="true" outlineLevel="0" collapsed="false">
      <c r="A9" s="4" t="s">
        <v>331</v>
      </c>
      <c r="B9" s="5" t="s">
        <v>332</v>
      </c>
      <c r="C9" s="4" t="s">
        <v>32</v>
      </c>
      <c r="D9" s="4" t="s">
        <v>333</v>
      </c>
      <c r="E9" s="4" t="s">
        <v>334</v>
      </c>
      <c r="F9" s="4" t="s">
        <v>335</v>
      </c>
    </row>
    <row r="10" customFormat="false" ht="55.5" hidden="false" customHeight="true" outlineLevel="0" collapsed="false">
      <c r="A10" s="4" t="s">
        <v>336</v>
      </c>
      <c r="B10" s="5" t="s">
        <v>337</v>
      </c>
      <c r="C10" s="4" t="s">
        <v>23</v>
      </c>
      <c r="D10" s="4" t="s">
        <v>338</v>
      </c>
      <c r="E10" s="4" t="s">
        <v>339</v>
      </c>
      <c r="F10" s="4" t="s">
        <v>340</v>
      </c>
    </row>
    <row r="11" customFormat="false" ht="55.5" hidden="false" customHeight="true" outlineLevel="0" collapsed="false">
      <c r="A11" s="4" t="s">
        <v>341</v>
      </c>
      <c r="B11" s="5" t="s">
        <v>342</v>
      </c>
      <c r="C11" s="4" t="s">
        <v>23</v>
      </c>
      <c r="D11" s="4" t="s">
        <v>343</v>
      </c>
      <c r="E11" s="4" t="s">
        <v>344</v>
      </c>
      <c r="F11" s="4" t="s">
        <v>345</v>
      </c>
    </row>
    <row r="12" customFormat="false" ht="55.5" hidden="false" customHeight="true" outlineLevel="0" collapsed="false">
      <c r="A12" s="4" t="s">
        <v>346</v>
      </c>
      <c r="B12" s="5" t="s">
        <v>347</v>
      </c>
      <c r="C12" s="4" t="s">
        <v>23</v>
      </c>
      <c r="D12" s="4" t="s">
        <v>348</v>
      </c>
      <c r="E12" s="4" t="s">
        <v>349</v>
      </c>
      <c r="F12" s="4" t="s">
        <v>350</v>
      </c>
    </row>
    <row r="13" customFormat="false" ht="55.5" hidden="false" customHeight="true" outlineLevel="0" collapsed="false">
      <c r="A13" s="4" t="s">
        <v>351</v>
      </c>
      <c r="B13" s="5" t="s">
        <v>352</v>
      </c>
      <c r="C13" s="4" t="s">
        <v>353</v>
      </c>
      <c r="D13" s="4" t="s">
        <v>354</v>
      </c>
      <c r="E13" s="4" t="s">
        <v>355</v>
      </c>
      <c r="F13" s="4" t="s">
        <v>356</v>
      </c>
    </row>
  </sheetData>
  <mergeCells count="2">
    <mergeCell ref="A1:F1"/>
    <mergeCell ref="A2:F2"/>
  </mergeCells>
  <hyperlinks>
    <hyperlink ref="B5" r:id="rId1" display="https://ansal.com.ar/"/>
    <hyperlink ref="B6" r:id="rId2" display="https://refrigeracionhk.com.ar/shop/"/>
    <hyperlink ref="B7" r:id="rId3" display="https://refrigeracionvergara.com.ar/"/>
    <hyperlink ref="B8" r:id="rId4" display="https://www.fbrepuestos.com.ar/"/>
    <hyperlink ref="B9" r:id="rId5" display="https://www.repuestos-noroeste.com.ar/"/>
    <hyperlink ref="B10" r:id="rId6" display="https://www.totaline.com.ar/"/>
    <hyperlink ref="B11" r:id="rId7" display="https://www.almagroref.com/"/>
    <hyperlink ref="B12" r:id="rId8" display="https://pizarroref.com.ar/"/>
    <hyperlink ref="B13" r:id="rId9" display="https://intess.com.a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8"/>
    <col collapsed="false" customWidth="true" hidden="false" outlineLevel="0" max="3" min="3" style="0" width="34"/>
    <col collapsed="false" customWidth="true" hidden="false" outlineLevel="0" max="5" min="4" style="0" width="22"/>
    <col collapsed="false" customWidth="true" hidden="false" outlineLevel="0" max="6" min="6" style="0" width="66"/>
  </cols>
  <sheetData>
    <row r="1" customFormat="false" ht="17.35" hidden="false" customHeight="false" outlineLevel="0" collapsed="false">
      <c r="A1" s="1" t="s">
        <v>357</v>
      </c>
      <c r="B1" s="1"/>
      <c r="C1" s="1"/>
      <c r="D1" s="1"/>
      <c r="E1" s="1"/>
      <c r="F1" s="1"/>
    </row>
    <row r="2" customFormat="false" ht="15" hidden="false" customHeight="false" outlineLevel="0" collapsed="false">
      <c r="A2" s="2" t="s">
        <v>358</v>
      </c>
      <c r="B2" s="2"/>
      <c r="C2" s="2"/>
      <c r="D2" s="2"/>
      <c r="E2" s="2"/>
      <c r="F2" s="2"/>
    </row>
    <row r="4" customFormat="false" ht="30" hidden="false" customHeight="true" outlineLevel="0" collapsed="false">
      <c r="A4" s="3" t="s">
        <v>3</v>
      </c>
      <c r="B4" s="3" t="s">
        <v>4</v>
      </c>
      <c r="C4" s="3" t="s">
        <v>359</v>
      </c>
      <c r="D4" s="3" t="s">
        <v>360</v>
      </c>
      <c r="E4" s="3" t="s">
        <v>361</v>
      </c>
      <c r="F4" s="3" t="s">
        <v>362</v>
      </c>
    </row>
    <row r="5" customFormat="false" ht="49.5" hidden="false" customHeight="true" outlineLevel="0" collapsed="false">
      <c r="A5" s="4" t="s">
        <v>363</v>
      </c>
      <c r="B5" s="5" t="s">
        <v>364</v>
      </c>
      <c r="C5" s="4" t="s">
        <v>365</v>
      </c>
      <c r="D5" s="4" t="s">
        <v>366</v>
      </c>
      <c r="E5" s="4" t="s">
        <v>36</v>
      </c>
      <c r="F5" s="4" t="s">
        <v>367</v>
      </c>
    </row>
    <row r="6" customFormat="false" ht="49.5" hidden="false" customHeight="true" outlineLevel="0" collapsed="false">
      <c r="A6" s="4" t="s">
        <v>368</v>
      </c>
      <c r="B6" s="5" t="s">
        <v>369</v>
      </c>
      <c r="C6" s="4" t="s">
        <v>370</v>
      </c>
      <c r="D6" s="4" t="s">
        <v>366</v>
      </c>
      <c r="E6" s="4" t="s">
        <v>371</v>
      </c>
      <c r="F6" s="4" t="s">
        <v>372</v>
      </c>
    </row>
    <row r="7" customFormat="false" ht="49.5" hidden="false" customHeight="true" outlineLevel="0" collapsed="false">
      <c r="A7" s="4" t="s">
        <v>373</v>
      </c>
      <c r="B7" s="5" t="s">
        <v>374</v>
      </c>
      <c r="C7" s="4" t="s">
        <v>375</v>
      </c>
      <c r="D7" s="4" t="s">
        <v>366</v>
      </c>
      <c r="E7" s="4" t="s">
        <v>376</v>
      </c>
      <c r="F7" s="4" t="s">
        <v>377</v>
      </c>
    </row>
    <row r="8" customFormat="false" ht="49.5" hidden="false" customHeight="true" outlineLevel="0" collapsed="false">
      <c r="A8" s="4" t="s">
        <v>378</v>
      </c>
      <c r="B8" s="5" t="s">
        <v>379</v>
      </c>
      <c r="C8" s="4" t="s">
        <v>380</v>
      </c>
      <c r="D8" s="4" t="s">
        <v>366</v>
      </c>
      <c r="E8" s="4" t="s">
        <v>376</v>
      </c>
      <c r="F8" s="4" t="s">
        <v>381</v>
      </c>
    </row>
    <row r="9" customFormat="false" ht="49.5" hidden="false" customHeight="true" outlineLevel="0" collapsed="false">
      <c r="A9" s="4" t="s">
        <v>382</v>
      </c>
      <c r="B9" s="5" t="s">
        <v>383</v>
      </c>
      <c r="C9" s="4" t="s">
        <v>384</v>
      </c>
      <c r="D9" s="4" t="s">
        <v>366</v>
      </c>
      <c r="E9" s="4" t="s">
        <v>385</v>
      </c>
      <c r="F9" s="4" t="s">
        <v>386</v>
      </c>
    </row>
    <row r="10" customFormat="false" ht="49.5" hidden="false" customHeight="true" outlineLevel="0" collapsed="false">
      <c r="A10" s="4" t="s">
        <v>387</v>
      </c>
      <c r="B10" s="5" t="s">
        <v>388</v>
      </c>
      <c r="C10" s="4" t="s">
        <v>389</v>
      </c>
      <c r="D10" s="4" t="s">
        <v>366</v>
      </c>
      <c r="E10" s="4" t="s">
        <v>376</v>
      </c>
      <c r="F10" s="4" t="s">
        <v>390</v>
      </c>
    </row>
    <row r="11" customFormat="false" ht="49.5" hidden="false" customHeight="true" outlineLevel="0" collapsed="false">
      <c r="A11" s="4" t="s">
        <v>391</v>
      </c>
      <c r="B11" s="5" t="s">
        <v>392</v>
      </c>
      <c r="C11" s="4" t="s">
        <v>393</v>
      </c>
      <c r="D11" s="4" t="s">
        <v>366</v>
      </c>
      <c r="E11" s="4" t="s">
        <v>376</v>
      </c>
      <c r="F11" s="4" t="s">
        <v>394</v>
      </c>
    </row>
    <row r="12" customFormat="false" ht="49.5" hidden="false" customHeight="true" outlineLevel="0" collapsed="false">
      <c r="A12" s="4" t="s">
        <v>395</v>
      </c>
      <c r="B12" s="5" t="s">
        <v>396</v>
      </c>
      <c r="C12" s="4" t="s">
        <v>397</v>
      </c>
      <c r="D12" s="4" t="s">
        <v>398</v>
      </c>
      <c r="E12" s="4" t="s">
        <v>399</v>
      </c>
      <c r="F12" s="4" t="s">
        <v>400</v>
      </c>
    </row>
    <row r="13" customFormat="false" ht="49.5" hidden="false" customHeight="true" outlineLevel="0" collapsed="false">
      <c r="A13" s="4" t="s">
        <v>401</v>
      </c>
      <c r="B13" s="5" t="s">
        <v>402</v>
      </c>
      <c r="C13" s="4" t="s">
        <v>403</v>
      </c>
      <c r="D13" s="4" t="s">
        <v>398</v>
      </c>
      <c r="E13" s="4" t="s">
        <v>404</v>
      </c>
      <c r="F13" s="4" t="s">
        <v>405</v>
      </c>
    </row>
  </sheetData>
  <mergeCells count="2">
    <mergeCell ref="A1:F1"/>
    <mergeCell ref="A2:F2"/>
  </mergeCells>
  <hyperlinks>
    <hyperlink ref="B5" r:id="rId1" display="https://www.climatizacionpolar.com.ar/"/>
    <hyperlink ref="B6" r:id="rId2" display="https://tiendafriorep.com.ar/"/>
    <hyperlink ref="B7" r:id="rId3" display="https://elreydelcosito.com.ar/"/>
    <hyperlink ref="B8" r:id="rId4" display="https://alef.com.ar/"/>
    <hyperlink ref="B9" r:id="rId5" display="https://www.alpesrefrigeracion.com.ar/"/>
    <hyperlink ref="B10" r:id="rId6" display="https://refrigeracionavellaneda.com/"/>
    <hyperlink ref="B11" r:id="rId7" display="https://refrigeracionmr.com.ar/"/>
    <hyperlink ref="B12" r:id="rId8" display="https://agrupacionduna.com/"/>
    <hyperlink ref="B13" r:id="rId9" display="https://www.tufresquito.com.a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13" t="s">
        <v>406</v>
      </c>
    </row>
    <row r="3" customFormat="false" ht="15" hidden="false" customHeight="false" outlineLevel="0" collapsed="false">
      <c r="A3" s="8" t="s">
        <v>407</v>
      </c>
    </row>
    <row r="4" customFormat="false" ht="30" hidden="false" customHeight="true" outlineLevel="0" collapsed="false">
      <c r="A4" s="14" t="s">
        <v>408</v>
      </c>
    </row>
    <row r="6" customFormat="false" ht="15" hidden="false" customHeight="false" outlineLevel="0" collapsed="false">
      <c r="A6" s="8" t="s">
        <v>409</v>
      </c>
    </row>
    <row r="7" customFormat="false" ht="60" hidden="false" customHeight="true" outlineLevel="0" collapsed="false">
      <c r="A7" s="14" t="s">
        <v>410</v>
      </c>
    </row>
    <row r="9" customFormat="false" ht="15" hidden="false" customHeight="false" outlineLevel="0" collapsed="false">
      <c r="A9" s="8" t="s">
        <v>411</v>
      </c>
    </row>
    <row r="10" customFormat="false" ht="75" hidden="false" customHeight="true" outlineLevel="0" collapsed="false">
      <c r="A10" s="14" t="s">
        <v>412</v>
      </c>
    </row>
    <row r="12" customFormat="false" ht="15" hidden="false" customHeight="false" outlineLevel="0" collapsed="false">
      <c r="A12" s="8" t="s">
        <v>413</v>
      </c>
    </row>
    <row r="13" customFormat="false" ht="75" hidden="false" customHeight="true" outlineLevel="0" collapsed="false">
      <c r="A13" s="14" t="s">
        <v>414</v>
      </c>
    </row>
    <row r="15" customFormat="false" ht="15" hidden="false" customHeight="false" outlineLevel="0" collapsed="false">
      <c r="A15" s="8" t="s">
        <v>415</v>
      </c>
    </row>
    <row r="16" customFormat="false" ht="60" hidden="false" customHeight="true" outlineLevel="0" collapsed="false">
      <c r="A16" s="14" t="s">
        <v>416</v>
      </c>
    </row>
    <row r="18" customFormat="false" ht="15" hidden="false" customHeight="false" outlineLevel="0" collapsed="false">
      <c r="A18" s="8" t="s">
        <v>417</v>
      </c>
    </row>
    <row r="19" customFormat="false" ht="45" hidden="false" customHeight="true" outlineLevel="0" collapsed="false">
      <c r="A19" s="14" t="s">
        <v>418</v>
      </c>
    </row>
    <row r="21" customFormat="false" ht="15" hidden="false" customHeight="false" outlineLevel="0" collapsed="false">
      <c r="A21" s="8" t="s">
        <v>419</v>
      </c>
    </row>
    <row r="22" customFormat="false" ht="45" hidden="false" customHeight="true" outlineLevel="0" collapsed="false">
      <c r="A22" s="14" t="s">
        <v>420</v>
      </c>
    </row>
    <row r="24" customFormat="false" ht="15" hidden="false" customHeight="false" outlineLevel="0" collapsed="false">
      <c r="A24" s="8" t="s">
        <v>421</v>
      </c>
    </row>
    <row r="25" customFormat="false" ht="60" hidden="false" customHeight="true" outlineLevel="0" collapsed="false">
      <c r="A25" s="14" t="s">
        <v>422</v>
      </c>
    </row>
    <row r="27" customFormat="false" ht="15" hidden="false" customHeight="false" outlineLevel="0" collapsed="false">
      <c r="A27" s="8" t="s">
        <v>423</v>
      </c>
    </row>
    <row r="28" customFormat="false" ht="60" hidden="false" customHeight="true" outlineLevel="0" collapsed="false">
      <c r="A28" s="14" t="s">
        <v>424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2026-09-08T17:54:09Z</dcterms:created>
  <dc:creator>openpyxl</dc:creator>
  <dc:description/>
  <dc:language>en-US</dc:language>
  <cp:lastModifiedBy/>
  <dcterms:modified xsi:type="dcterms:W3CDTF">2026-09-08T17:54:09Z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